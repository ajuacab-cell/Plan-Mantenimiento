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bd5ad93608ef24b/2. Planes 90 Días/Plan Dir Mantto/"/>
    </mc:Choice>
  </mc:AlternateContent>
  <xr:revisionPtr revIDLastSave="2490" documentId="8_{21D8742F-BBFF-42A5-9AD3-D3DF45B525E4}" xr6:coauthVersionLast="47" xr6:coauthVersionMax="47" xr10:uidLastSave="{B08101D3-6389-4794-8D93-C5A553C17AB5}"/>
  <bookViews>
    <workbookView xWindow="-120" yWindow="-120" windowWidth="20730" windowHeight="11040" tabRatio="500" firstSheet="8" activeTab="9" xr2:uid="{00000000-000D-0000-FFFF-FFFF00000000}"/>
  </bookViews>
  <sheets>
    <sheet name="Organigrama" sheetId="18" r:id="rId1"/>
    <sheet name="Directorio" sheetId="17" r:id="rId2"/>
    <sheet name="Agenda Juntas" sheetId="19" r:id="rId3"/>
    <sheet name="Temas a revisar" sheetId="10" r:id="rId4"/>
    <sheet name="FODA" sheetId="25" r:id="rId5"/>
    <sheet name="Disgnóstico UdN1" sheetId="15" r:id="rId6"/>
    <sheet name="Ratio Técnicos" sheetId="16" r:id="rId7"/>
    <sheet name="Bahías Fosas" sheetId="20" r:id="rId8"/>
    <sheet name="Draft" sheetId="26" r:id="rId9"/>
    <sheet name="Resumen Ejecutivo" sheetId="1" r:id="rId10"/>
    <sheet name="Roadmap 90 Días" sheetId="2" r:id="rId11"/>
    <sheet name="Diagnóstico Nacional" sheetId="3" r:id="rId12"/>
    <sheet name="KPIs Corporativos" sheetId="4" r:id="rId13"/>
    <sheet name="KPIs  Secundarios" sheetId="24" r:id="rId14"/>
    <sheet name="Benchmark KPIs Corp" sheetId="13" state="hidden" r:id="rId15"/>
    <sheet name="Benchmark KPIs Op" sheetId="14" state="hidden" r:id="rId16"/>
    <sheet name="Refacciones Críticas" sheetId="5" r:id="rId17"/>
    <sheet name="Estandarización Procesos" sheetId="6" r:id="rId18"/>
    <sheet name="Confiabilidad" sheetId="7" r:id="rId19"/>
    <sheet name="Riesgos y Acciones" sheetId="8" r:id="rId20"/>
    <sheet name="Plan Mensual Avances" sheetId="9" r:id="rId21"/>
    <sheet name="Proyectos" sheetId="23" r:id="rId22"/>
    <sheet name="Notas" sheetId="11" state="hidden" r:id="rId23"/>
  </sheets>
  <definedNames>
    <definedName name="_xlnm._FilterDatabase" localSheetId="14" hidden="1">'Benchmark KPIs Corp'!$A$1:$J$37</definedName>
    <definedName name="_xlnm._FilterDatabase" localSheetId="15" hidden="1">'Benchmark KPIs Op'!$A$1:$J$12</definedName>
    <definedName name="_xlnm._FilterDatabase" localSheetId="18" hidden="1">Confiabilidad!$A$1:$I$12</definedName>
    <definedName name="_xlnm._FilterDatabase" localSheetId="11" hidden="1">'Diagnóstico Nacional'!$A$1:$J$11</definedName>
    <definedName name="_xlnm._FilterDatabase" localSheetId="17" hidden="1">'Estandarización Procesos'!$A$1:$H$10</definedName>
    <definedName name="_xlnm._FilterDatabase" localSheetId="4" hidden="1">FODA!$A$1:$E$82</definedName>
    <definedName name="_xlnm._FilterDatabase" localSheetId="13" hidden="1">'KPIs  Secundarios'!$A$1:$K$12</definedName>
    <definedName name="_xlnm._FilterDatabase" localSheetId="12" hidden="1">'KPIs Corporativos'!$A$1:$K$14</definedName>
    <definedName name="_xlnm._FilterDatabase" localSheetId="21" hidden="1">Proyectos!$A$1:$H$10</definedName>
    <definedName name="_xlnm._FilterDatabase" localSheetId="16" hidden="1">'Refacciones Críticas'!$A$1:$K$15</definedName>
    <definedName name="_xlnm._FilterDatabase" localSheetId="19" hidden="1">'Riesgos y Acciones'!$A$1:$H$12</definedName>
    <definedName name="_xlnm._FilterDatabase" localSheetId="10" hidden="1">'Roadmap 90 Días'!$A$1:$L$25</definedName>
    <definedName name="_xlnm._FilterDatabase" localSheetId="3" hidden="1">'Temas a revisar'!$A$1:$F$82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9" i="24" l="1"/>
  <c r="I18" i="24"/>
  <c r="I17" i="24"/>
  <c r="I16" i="24"/>
  <c r="D8" i="24"/>
  <c r="H8" i="24"/>
  <c r="G8" i="24"/>
  <c r="F8" i="24"/>
  <c r="E8" i="24"/>
  <c r="J8" i="24" s="1"/>
  <c r="H7" i="24"/>
  <c r="G7" i="24"/>
  <c r="I7" i="24" s="1"/>
  <c r="F7" i="24"/>
  <c r="E7" i="24"/>
  <c r="D7" i="24"/>
  <c r="D23" i="1"/>
  <c r="A88" i="10"/>
  <c r="A87" i="10"/>
  <c r="J30" i="24"/>
  <c r="I30" i="24"/>
  <c r="A86" i="10"/>
  <c r="I8" i="4"/>
  <c r="J15" i="4"/>
  <c r="I15" i="4"/>
  <c r="J29" i="24"/>
  <c r="I29" i="24"/>
  <c r="J28" i="24"/>
  <c r="I28" i="24"/>
  <c r="J27" i="24"/>
  <c r="I27" i="24"/>
  <c r="J26" i="24"/>
  <c r="I26" i="24"/>
  <c r="J25" i="24"/>
  <c r="I25" i="24"/>
  <c r="J24" i="24"/>
  <c r="I24" i="24"/>
  <c r="J23" i="24"/>
  <c r="I23" i="24"/>
  <c r="J22" i="24"/>
  <c r="I22" i="24"/>
  <c r="J21" i="24"/>
  <c r="I21" i="24"/>
  <c r="J20" i="24"/>
  <c r="I20" i="24"/>
  <c r="J19" i="24"/>
  <c r="J18" i="24"/>
  <c r="J17" i="24"/>
  <c r="J16" i="24"/>
  <c r="J15" i="24"/>
  <c r="I15" i="24"/>
  <c r="J14" i="24"/>
  <c r="I14" i="24"/>
  <c r="J13" i="24"/>
  <c r="I13" i="24"/>
  <c r="J9" i="4"/>
  <c r="J8" i="4"/>
  <c r="J7" i="4"/>
  <c r="I7" i="4"/>
  <c r="A85" i="10"/>
  <c r="A84" i="10"/>
  <c r="J12" i="24"/>
  <c r="I12" i="24"/>
  <c r="J11" i="24"/>
  <c r="I11" i="24"/>
  <c r="J10" i="24"/>
  <c r="I10" i="24"/>
  <c r="J9" i="24"/>
  <c r="I9" i="24"/>
  <c r="I8" i="24"/>
  <c r="J7" i="24"/>
  <c r="J6" i="24"/>
  <c r="I6" i="24"/>
  <c r="J5" i="24"/>
  <c r="I5" i="24"/>
  <c r="J4" i="24"/>
  <c r="I4" i="24"/>
  <c r="J3" i="24"/>
  <c r="I3" i="24"/>
  <c r="I14" i="4"/>
  <c r="J14" i="4"/>
  <c r="J13" i="4"/>
  <c r="J12" i="4"/>
  <c r="J11" i="4"/>
  <c r="J10" i="4"/>
  <c r="J6" i="4"/>
  <c r="J5" i="4"/>
  <c r="J4" i="4"/>
  <c r="J3" i="4"/>
  <c r="D43" i="1"/>
  <c r="D22" i="1"/>
  <c r="D21" i="1"/>
  <c r="D26" i="1"/>
  <c r="D25" i="1"/>
  <c r="D24" i="1"/>
  <c r="I10" i="3"/>
  <c r="I9" i="3"/>
  <c r="I8" i="3"/>
  <c r="I7" i="3"/>
  <c r="I6" i="3"/>
  <c r="I4" i="3"/>
  <c r="I3" i="3"/>
  <c r="I5" i="3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A83" i="10"/>
  <c r="D10" i="3"/>
  <c r="D9" i="3"/>
  <c r="D8" i="3"/>
  <c r="D7" i="3"/>
  <c r="D6" i="3"/>
  <c r="D5" i="3"/>
  <c r="D4" i="3"/>
  <c r="D3" i="3"/>
  <c r="O8" i="16"/>
  <c r="E8" i="20"/>
  <c r="E7" i="20"/>
  <c r="E6" i="20"/>
  <c r="E5" i="20"/>
  <c r="I5" i="20" s="1"/>
  <c r="E4" i="20"/>
  <c r="E3" i="20"/>
  <c r="E2" i="20"/>
  <c r="F2" i="20" s="1"/>
  <c r="F8" i="20"/>
  <c r="F7" i="20"/>
  <c r="F6" i="20"/>
  <c r="F4" i="20"/>
  <c r="J4" i="20" s="1"/>
  <c r="F3" i="20"/>
  <c r="J7" i="20"/>
  <c r="J8" i="20"/>
  <c r="J6" i="20"/>
  <c r="J3" i="20"/>
  <c r="I8" i="20"/>
  <c r="I7" i="20"/>
  <c r="I6" i="20"/>
  <c r="I4" i="20"/>
  <c r="I3" i="20"/>
  <c r="H9" i="20"/>
  <c r="G9" i="20"/>
  <c r="H8" i="16"/>
  <c r="H7" i="16"/>
  <c r="H6" i="16"/>
  <c r="H5" i="16"/>
  <c r="S5" i="16" s="1"/>
  <c r="H4" i="16"/>
  <c r="H3" i="16"/>
  <c r="B9" i="20"/>
  <c r="C8" i="20"/>
  <c r="D8" i="20" s="1"/>
  <c r="C7" i="20"/>
  <c r="C6" i="20"/>
  <c r="D6" i="20" s="1"/>
  <c r="C5" i="20"/>
  <c r="D5" i="20" s="1"/>
  <c r="C4" i="20"/>
  <c r="C3" i="20"/>
  <c r="C2" i="20"/>
  <c r="D2" i="20" s="1"/>
  <c r="S8" i="16"/>
  <c r="S7" i="16"/>
  <c r="S6" i="16"/>
  <c r="S4" i="16"/>
  <c r="S3" i="16"/>
  <c r="S2" i="16"/>
  <c r="M8" i="16"/>
  <c r="O6" i="16"/>
  <c r="J6" i="16"/>
  <c r="S16" i="16"/>
  <c r="S14" i="16"/>
  <c r="S17" i="16"/>
  <c r="S12" i="16"/>
  <c r="S13" i="16"/>
  <c r="J8" i="16"/>
  <c r="Q9" i="16"/>
  <c r="P9" i="16"/>
  <c r="O9" i="16"/>
  <c r="N9" i="16"/>
  <c r="M9" i="16"/>
  <c r="L9" i="16"/>
  <c r="K9" i="16"/>
  <c r="J7" i="16"/>
  <c r="J5" i="16"/>
  <c r="J4" i="16"/>
  <c r="J3" i="16"/>
  <c r="J2" i="16"/>
  <c r="C8" i="16"/>
  <c r="G8" i="16" s="1"/>
  <c r="C7" i="16"/>
  <c r="C6" i="16"/>
  <c r="C5" i="16"/>
  <c r="C4" i="16"/>
  <c r="C3" i="16"/>
  <c r="G3" i="16" s="1"/>
  <c r="C2" i="16"/>
  <c r="G2" i="16" s="1"/>
  <c r="F9" i="16"/>
  <c r="E9" i="16"/>
  <c r="D9" i="16"/>
  <c r="G6" i="16"/>
  <c r="B9" i="16"/>
  <c r="W9" i="16"/>
  <c r="W11" i="16"/>
  <c r="W10" i="16"/>
  <c r="W8" i="16"/>
  <c r="W7" i="16"/>
  <c r="W4" i="16"/>
  <c r="W3" i="16"/>
  <c r="F5" i="20" l="1"/>
  <c r="F9" i="20" s="1"/>
  <c r="I2" i="20"/>
  <c r="E9" i="20"/>
  <c r="I9" i="20"/>
  <c r="J2" i="20"/>
  <c r="D4" i="20"/>
  <c r="D3" i="20"/>
  <c r="C9" i="20"/>
  <c r="D7" i="20"/>
  <c r="T6" i="16"/>
  <c r="J9" i="16"/>
  <c r="T7" i="16"/>
  <c r="R7" i="16"/>
  <c r="G7" i="16"/>
  <c r="I7" i="16" s="1"/>
  <c r="R4" i="16"/>
  <c r="T4" i="16"/>
  <c r="G4" i="16"/>
  <c r="I4" i="16" s="1"/>
  <c r="I8" i="16"/>
  <c r="I6" i="16"/>
  <c r="C9" i="16"/>
  <c r="H2" i="16"/>
  <c r="R6" i="16"/>
  <c r="G5" i="16"/>
  <c r="T37" i="13"/>
  <c r="T36" i="13"/>
  <c r="T34" i="13"/>
  <c r="T33" i="13"/>
  <c r="T32" i="13"/>
  <c r="T31" i="13"/>
  <c r="T30" i="13"/>
  <c r="T29" i="13"/>
  <c r="T27" i="13"/>
  <c r="T26" i="13"/>
  <c r="T25" i="13"/>
  <c r="T24" i="13"/>
  <c r="T23" i="13"/>
  <c r="T22" i="13"/>
  <c r="T21" i="13"/>
  <c r="T19" i="13"/>
  <c r="T18" i="13"/>
  <c r="T17" i="13"/>
  <c r="T16" i="13"/>
  <c r="T15" i="13"/>
  <c r="T14" i="13"/>
  <c r="T13" i="13"/>
  <c r="T11" i="13"/>
  <c r="T10" i="13"/>
  <c r="T9" i="13"/>
  <c r="T8" i="13"/>
  <c r="T7" i="13"/>
  <c r="T6" i="13"/>
  <c r="T5" i="13"/>
  <c r="T4" i="13"/>
  <c r="P13" i="14"/>
  <c r="O13" i="14"/>
  <c r="P12" i="14"/>
  <c r="P11" i="14"/>
  <c r="P10" i="14"/>
  <c r="P9" i="14"/>
  <c r="P8" i="14"/>
  <c r="O7" i="14"/>
  <c r="P6" i="14"/>
  <c r="P5" i="14"/>
  <c r="P4" i="14"/>
  <c r="P3" i="14"/>
  <c r="J5" i="20" l="1"/>
  <c r="J9" i="20" s="1"/>
  <c r="D9" i="20"/>
  <c r="R3" i="16"/>
  <c r="T3" i="16"/>
  <c r="I3" i="16"/>
  <c r="T5" i="16"/>
  <c r="R5" i="16"/>
  <c r="G9" i="16"/>
  <c r="I5" i="16"/>
  <c r="R2" i="16"/>
  <c r="H9" i="16"/>
  <c r="R9" i="16" s="1"/>
  <c r="I2" i="16"/>
  <c r="T8" i="16"/>
  <c r="R8" i="16"/>
  <c r="I9" i="16" l="1"/>
  <c r="S9" i="16"/>
  <c r="T2" i="16"/>
  <c r="T9" i="16" s="1"/>
  <c r="A3" i="10" l="1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H15" i="5"/>
  <c r="H14" i="5"/>
  <c r="H13" i="5"/>
  <c r="H12" i="5"/>
  <c r="H11" i="5"/>
  <c r="H10" i="5"/>
  <c r="H9" i="5"/>
  <c r="H8" i="5"/>
  <c r="H7" i="5"/>
  <c r="H6" i="5"/>
  <c r="H5" i="5"/>
  <c r="H4" i="5"/>
  <c r="H3" i="5"/>
  <c r="I13" i="4"/>
  <c r="I12" i="4"/>
  <c r="I11" i="4"/>
  <c r="I10" i="4"/>
  <c r="I9" i="4"/>
  <c r="I6" i="4"/>
  <c r="I5" i="4"/>
  <c r="I4" i="4"/>
  <c r="I3" i="4"/>
  <c r="F11" i="3"/>
  <c r="E11" i="3"/>
  <c r="C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 Juarez Cabrera</author>
  </authors>
  <commentList>
    <comment ref="W9" authorId="0" shapeId="0" xr:uid="{53A59367-20D9-47B4-B8D0-3A255F601D18}">
      <text>
        <r>
          <rPr>
            <b/>
            <sz val="9"/>
            <color indexed="81"/>
            <rFont val="Tahoma"/>
            <family val="2"/>
          </rPr>
          <t>3 climeros
3 foseros por turno
carroceros sin imagen 2
mecánicos 7+5+2
eléctricos 4+3+2
Llanteros 1+1+1
Tapicero 1
Radiadorista 1
Motorista 1
Transmisionista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 Juarez Cabrera</author>
  </authors>
  <commentList>
    <comment ref="E1" authorId="0" shapeId="0" xr:uid="{AEA8D96F-759B-4A79-B87E-200FF18145E8}">
      <text>
        <r>
          <rPr>
            <b/>
            <sz val="9"/>
            <color indexed="81"/>
            <rFont val="Tahoma"/>
            <family val="2"/>
          </rPr>
          <t>1 bahía por cada 25 unidades + 1 para Carrocería + 1 Climas</t>
        </r>
      </text>
    </comment>
    <comment ref="F1" authorId="0" shapeId="0" xr:uid="{BB2B4BCF-CC14-488C-9EB4-5447BB3A1947}">
      <text>
        <r>
          <rPr>
            <b/>
            <sz val="9"/>
            <color indexed="81"/>
            <rFont val="Tahoma"/>
            <family val="2"/>
          </rPr>
          <t>205 de las bahías 
+1 Bahía para Diagnósticar correctivos y campañas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 Juarez Cabrera</author>
  </authors>
  <commentList>
    <comment ref="A11" authorId="0" shapeId="0" xr:uid="{3941D353-AD21-467D-97C5-B2A7620A5B50}">
      <text>
        <r>
          <rPr>
            <b/>
            <sz val="9"/>
            <color indexed="81"/>
            <rFont val="Tahoma"/>
            <family val="2"/>
          </rPr>
          <t xml:space="preserve">Validar fórmula
</t>
        </r>
      </text>
    </comment>
  </commentList>
</comments>
</file>

<file path=xl/sharedStrings.xml><?xml version="1.0" encoding="utf-8"?>
<sst xmlns="http://schemas.openxmlformats.org/spreadsheetml/2006/main" count="1850" uniqueCount="1185">
  <si>
    <t>Consejo de Adminsitración</t>
  </si>
  <si>
    <t>Director General (CEO)</t>
  </si>
  <si>
    <t>Abelardo Osuna Morales</t>
  </si>
  <si>
    <t>Durector de RH</t>
  </si>
  <si>
    <t>Director de  …</t>
  </si>
  <si>
    <t>x</t>
  </si>
  <si>
    <t>Gerente de ..</t>
  </si>
  <si>
    <t>Directorio Empresa</t>
  </si>
  <si>
    <t>Unidad de negocio</t>
  </si>
  <si>
    <t>Área Funcional</t>
  </si>
  <si>
    <t>Puesto</t>
  </si>
  <si>
    <t>Nombre</t>
  </si>
  <si>
    <t>Sede</t>
  </si>
  <si>
    <t>Cel</t>
  </si>
  <si>
    <t>Correo</t>
  </si>
  <si>
    <t>Comentarios</t>
  </si>
  <si>
    <t>Corpotativo</t>
  </si>
  <si>
    <t>Dirección</t>
  </si>
  <si>
    <t>CEO</t>
  </si>
  <si>
    <t>Abelarto Osuna Morales</t>
  </si>
  <si>
    <t>Monterrey</t>
  </si>
  <si>
    <t>Dir. Capital Humano (RH)</t>
  </si>
  <si>
    <t>Dir. Finanzas</t>
  </si>
  <si>
    <t>Dir Comercial</t>
  </si>
  <si>
    <t>Dir Operaciones y Seguridad Vial</t>
  </si>
  <si>
    <t>Dir TI</t>
  </si>
  <si>
    <t>Dir Abastecimientos</t>
  </si>
  <si>
    <t>Junta de gerencia</t>
  </si>
  <si>
    <t>Gerente Capital Humano (RH)</t>
  </si>
  <si>
    <t>Gerente de Seguridad Patrimoinial</t>
  </si>
  <si>
    <t>Gerente Comercial</t>
  </si>
  <si>
    <t>Gerente de Servicio al cliente</t>
  </si>
  <si>
    <t>Gerente de Operaciones</t>
  </si>
  <si>
    <t>Gerente de Planeración y Logística</t>
  </si>
  <si>
    <t xml:space="preserve">Gerente de Seguridad Vial </t>
  </si>
  <si>
    <t>Jefe de SHE (SISO)</t>
  </si>
  <si>
    <t>Gerente de Abastecimiento</t>
  </si>
  <si>
    <t>Gerente Legal</t>
  </si>
  <si>
    <t>Gerente de TI</t>
  </si>
  <si>
    <t>Gerente de Control Interno(o Auditoria)</t>
  </si>
  <si>
    <t>Gerente de Finanzas</t>
  </si>
  <si>
    <t>Gerente de Control de Combustible</t>
  </si>
  <si>
    <t>Gerente de Ingeniería vehícular</t>
  </si>
  <si>
    <t>Reportes directos</t>
  </si>
  <si>
    <t>Jefe de Taller 1</t>
  </si>
  <si>
    <t>Jefe de Taller 2</t>
  </si>
  <si>
    <t>Staff Mtto</t>
  </si>
  <si>
    <t>Mobiliti</t>
  </si>
  <si>
    <t>Gerente de UdN …</t>
  </si>
  <si>
    <t>Federal</t>
  </si>
  <si>
    <t>Cargo</t>
  </si>
  <si>
    <t>Inbox</t>
  </si>
  <si>
    <t>Agenda de Juntas</t>
  </si>
  <si>
    <t>Hora</t>
  </si>
  <si>
    <t>Lunes</t>
  </si>
  <si>
    <t>Martes</t>
  </si>
  <si>
    <t>Miércoles</t>
  </si>
  <si>
    <t>Jueves</t>
  </si>
  <si>
    <t>Viernes</t>
  </si>
  <si>
    <t>Sábados</t>
  </si>
  <si>
    <t>Junta Diaria Teams</t>
  </si>
  <si>
    <t>Presencial con Dir Gral (TAC sem)</t>
  </si>
  <si>
    <t>Quincenal CEO Presencial</t>
  </si>
  <si>
    <t>Uno a Uno Dir Gral Citi
Pendientes
Apoyos Requeridos</t>
  </si>
  <si>
    <t>Asesores Mantto
Alfredo Ortega
Rigoberto Mtz
Domingo Treviño
Genaro González
Presencial Oficina Genaro</t>
  </si>
  <si>
    <t>Comité auditorias CAPS- presencial oficina de Genaro
Gerente de Auditoria Héctor Vázquez
Genaro
René Otonial</t>
  </si>
  <si>
    <t>Operaciones Logística -Mtto (Teams) Esau
Accidentes viales
ç/ Gte de Op expone
Piden apoyos
Participa Gte y Gte Sr Mantto</t>
  </si>
  <si>
    <t>Avance de Proyectos Presencial</t>
  </si>
  <si>
    <t>#</t>
  </si>
  <si>
    <t>Tema</t>
  </si>
  <si>
    <t>Detelle</t>
  </si>
  <si>
    <t>Tipo</t>
  </si>
  <si>
    <t>Check</t>
  </si>
  <si>
    <t>Cronogrograma maestro</t>
  </si>
  <si>
    <t>Agregar one2one con Lideres de Mantto y staff</t>
  </si>
  <si>
    <t>Pedir over view a cada gerente de Mtto</t>
  </si>
  <si>
    <t>Incluir Sindicato</t>
  </si>
  <si>
    <t>Definir agenda de sesiones con equipo y áreas y con DG</t>
  </si>
  <si>
    <t>KPIs</t>
  </si>
  <si>
    <t>Revisar KPIs Actuales y revisar cuales faltan o sobran</t>
  </si>
  <si>
    <t>Llantas a parte</t>
  </si>
  <si>
    <t>Alineación</t>
  </si>
  <si>
    <t>Sección de oportunidade detectadas para quick wins o planes</t>
  </si>
  <si>
    <t>Construir plan de trabajo a 0-31-31-60-61-90 días</t>
  </si>
  <si>
    <t>RH</t>
  </si>
  <si>
    <t>Cobertura de plantilla/Vacantes por puesto y antigüedad</t>
  </si>
  <si>
    <t xml:space="preserve">Ratios (Factor) unidades/ HC </t>
  </si>
  <si>
    <t>Revisar organigrama y dependencias matriciales</t>
  </si>
  <si>
    <t>Operación</t>
  </si>
  <si>
    <t xml:space="preserve">Check list de Mps, proceso de Ot, Back Log, </t>
  </si>
  <si>
    <t>Supervisión de talleres?</t>
  </si>
  <si>
    <t>Finanzas</t>
  </si>
  <si>
    <t>Revisar Ppto en $ y Factor de Mantto, Herramienta, Fijos, etc</t>
  </si>
  <si>
    <t>Revisar $/Km, $/Sistema, $/Vehiculo, $/Plataforma</t>
  </si>
  <si>
    <t>Activos/Logística</t>
  </si>
  <si>
    <t>Revisar Inventario de flota y vs Arranques/Rutas, revisar sobrantes? % relevos? o disponiibilidad</t>
  </si>
  <si>
    <t>Se asignan unidades o hay cambio de manos</t>
  </si>
  <si>
    <t>Cobros de accidentes, llantas y daños operativos? hay comité?</t>
  </si>
  <si>
    <t>SHE (Safety-Healt-Enviroment)</t>
  </si>
  <si>
    <t>Revisar estadística y planes preventivos?</t>
  </si>
  <si>
    <t>Revisar vencimiento de MPs, y como se manejan, por componente o generales</t>
  </si>
  <si>
    <t>Serrvicio</t>
  </si>
  <si>
    <t>Como se miden los carros tirados y afectaciones en el servicvio, absolutos o por km?, Hay comité?</t>
  </si>
  <si>
    <t>Auditoria</t>
  </si>
  <si>
    <t>Hallazgos de última auditoria</t>
  </si>
  <si>
    <t>Pedir auditoria a talleres y Almacenes</t>
  </si>
  <si>
    <t>Control Interno</t>
  </si>
  <si>
    <t>Controles (Matriz de riesgos) como se lleva</t>
  </si>
  <si>
    <t>Almacenes</t>
  </si>
  <si>
    <t>Working capital, Dias de inventario, % Rotación de Inv, Materiales sin movimiento (0-30, 31-60,61-90,91-120, +120, Sin mov)</t>
  </si>
  <si>
    <t>Mapa de talleres</t>
  </si>
  <si>
    <t>Ubicaciones GPS de talleres y patios-bases</t>
  </si>
  <si>
    <t>Preventivos</t>
  </si>
  <si>
    <t>Estándar de Mps</t>
  </si>
  <si>
    <t>Programación de Mantenimientos</t>
  </si>
  <si>
    <t>Vencimientos de componentes mayores para mapeo de necesidad de capex y édir semaforo de vencimiento de MP</t>
  </si>
  <si>
    <t>Herramienta</t>
  </si>
  <si>
    <t>Revisar gasto de herramienta por mes, y estándar de herramienta por técnico, y control de herramienta</t>
  </si>
  <si>
    <t>Como miden atributos</t>
  </si>
  <si>
    <t>Infraestructura</t>
  </si>
  <si>
    <t>Hay fosas en todos los talleres/patios</t>
  </si>
  <si>
    <t>Hay Kiosko para gestión de ot por técnicos</t>
  </si>
  <si>
    <t>Usan Tablet los técnicos</t>
  </si>
  <si>
    <t>Hay equipo de diagnóstico</t>
  </si>
  <si>
    <t>Hay gatos neumáticos para fosa</t>
  </si>
  <si>
    <t>Hay totem de fluidos y pistolas cuenta litros</t>
  </si>
  <si>
    <t>Hay máquina lavapiezas?</t>
  </si>
  <si>
    <t>Hay alineadora en talleres?</t>
  </si>
  <si>
    <t>Hay balanceadoras en los talleres</t>
  </si>
  <si>
    <t>Hay bono a tecnicos, mandos medios y jefaturas?</t>
  </si>
  <si>
    <t>Como controan los fluidos(aceites, grasa, anticongelante y urea)</t>
  </si>
  <si>
    <t>Sistemas</t>
  </si>
  <si>
    <t>Que sistemas se usan en Mantenimiento</t>
  </si>
  <si>
    <t>Llantas</t>
  </si>
  <si>
    <t>Usan llanta renovadas?</t>
  </si>
  <si>
    <t>En Chinas Realco , Millever, Westlake, en Transport ede personal
En Federal Bridgestone</t>
  </si>
  <si>
    <t>Que marca de llantas usan en originales?</t>
  </si>
  <si>
    <t>Componentes reparados</t>
  </si>
  <si>
    <t>Se reparan interno?, Motor, transmisión, diferencial, marchas, Alternadores
Las balatas se arman o se compran armadas?</t>
  </si>
  <si>
    <t>Alcance</t>
  </si>
  <si>
    <t>Que negocios atiendo?</t>
  </si>
  <si>
    <t>Capacitación</t>
  </si>
  <si>
    <t>Se tiene plan de capacitación? Que vance tiene, se otorgan cursos sin costo por los fabricantes?</t>
  </si>
  <si>
    <t>Idea</t>
  </si>
  <si>
    <t>Nitrogeno en llantas?</t>
  </si>
  <si>
    <t>Hay medición de productividad de técnicos?</t>
  </si>
  <si>
    <t>Hay lavadores?</t>
  </si>
  <si>
    <t>Hay tanques de aire autopurgantes?</t>
  </si>
  <si>
    <t>Flota</t>
  </si>
  <si>
    <t>Inactivan unidades en temporada baja?</t>
  </si>
  <si>
    <t>Se hace semaforeo? A que mm es crítico, regular y ok?</t>
  </si>
  <si>
    <t>Tiemo Extra y Descansos laborados</t>
  </si>
  <si>
    <t>Como se gestiona el tiempo extra y descansos laborados?</t>
  </si>
  <si>
    <t>Campañas</t>
  </si>
  <si>
    <t>Hay campañas? Por contramedidas de fallas o por temporalidades como lavado de radiador y post enfriador?</t>
  </si>
  <si>
    <t>Radiadores</t>
  </si>
  <si>
    <t>Se sondean radiadores?</t>
  </si>
  <si>
    <t>Revisión en campo</t>
  </si>
  <si>
    <t>Revisar engrases, foseos, preventivos, proceso de mtto (Diagnóstico, Planeación, Programación, Ejecución) , se clasifican las ot por criticidad?, revisar proceso completo</t>
  </si>
  <si>
    <t>Como es el reporte de Unidades en taller</t>
  </si>
  <si>
    <t>Se lleva indicador de anormales?</t>
  </si>
  <si>
    <t>Gasto</t>
  </si>
  <si>
    <t>Hay niveles de autorización de gasto?</t>
  </si>
  <si>
    <t>Revisar $/km (factor) 2026, 2025, 2024</t>
  </si>
  <si>
    <t>Procesos</t>
  </si>
  <si>
    <t>Hay políticas, procesos, formatos de mantenimiento publicados?</t>
  </si>
  <si>
    <t>Hay check list presalida por el operador</t>
  </si>
  <si>
    <t>Hay proceso de foseo al refreso de viajes en federal?</t>
  </si>
  <si>
    <t>Hay proceso de foseo al refreso de viajes en transporte de personal?</t>
  </si>
  <si>
    <t>Hay reporte de falla al regreso de ruta por el operador?</t>
  </si>
  <si>
    <t>Hay vehículos utilitarios para taller?</t>
  </si>
  <si>
    <t>Plan de imagen</t>
  </si>
  <si>
    <t>Hay plan de imagen de unidades?</t>
  </si>
  <si>
    <t>Que KPIs de llantas se tienen</t>
  </si>
  <si>
    <t>Que control hay de residuos peligrosos y llantas?</t>
  </si>
  <si>
    <t>Hay áreas de RP de acuerdo a norma</t>
  </si>
  <si>
    <t>Quien lleva el control de RP, manifiestos, no más del  80% de la capacidad del almacén temporal, no más de 6 meses almacenados, etc?
Bitácora</t>
  </si>
  <si>
    <t>Como manejan los daños por mala operación (Negligencia)</t>
  </si>
  <si>
    <t>Sindicato</t>
  </si>
  <si>
    <t>Hay minuta o pendientes con sindicato?</t>
  </si>
  <si>
    <t>Refacciones</t>
  </si>
  <si>
    <t>Que tipo de acumuladores se usan? De Gel, De placas, de descarga profunda? Y de que marca</t>
  </si>
  <si>
    <t>Onboarding</t>
  </si>
  <si>
    <t>Uno a uno con directores, con gerentes y con reportes directos</t>
  </si>
  <si>
    <t>Proyectos</t>
  </si>
  <si>
    <t>Que proyectos de mantto está vigente</t>
  </si>
  <si>
    <t>Proceso de servicios con externos?</t>
  </si>
  <si>
    <t>Leasing</t>
  </si>
  <si>
    <t>Hay flota leasing?, como se maneja el mantenimiento?</t>
  </si>
  <si>
    <t>Como es la jornada laboral en Mantenimiento, que niveles no laboran el sábado</t>
  </si>
  <si>
    <t>Hay tableros de indicadores en el taller</t>
  </si>
  <si>
    <t>Se manejan consignaciones?</t>
  </si>
  <si>
    <t>MTTR (Tiempo medio de reparación)</t>
  </si>
  <si>
    <t>Agregar a KPIs operativos, igual que llantas, tec</t>
  </si>
  <si>
    <t>Revisar si hay vehículos canibalizados</t>
  </si>
  <si>
    <t>Validar unidades en taller de muchos días</t>
  </si>
  <si>
    <t>Detectar fallas críticas</t>
  </si>
  <si>
    <t>Revisar Estadísitica de fallas críticas por mes para implementar seguimiento a confiabilidad</t>
  </si>
  <si>
    <t>FODA</t>
  </si>
  <si>
    <t>Concepto/KPI</t>
  </si>
  <si>
    <t>Dato Ene-Jun 2025</t>
  </si>
  <si>
    <t>Estatus</t>
  </si>
  <si>
    <t>Plan</t>
  </si>
  <si>
    <t>Seguridad e Higiene</t>
  </si>
  <si>
    <t>Accidentes incapacitantes</t>
  </si>
  <si>
    <t>🔴</t>
  </si>
  <si>
    <t>+92% acum vs Año ant</t>
  </si>
  <si>
    <t>Áreas de RP</t>
  </si>
  <si>
    <t>NO</t>
  </si>
  <si>
    <t>NO cumplen y colocar $</t>
  </si>
  <si>
    <t>Solicitud de Capex para 2026 $1.941 M</t>
  </si>
  <si>
    <t xml:space="preserve">🟡 </t>
  </si>
  <si>
    <t>5's</t>
  </si>
  <si>
    <t>NO se tiene cultura</t>
  </si>
  <si>
    <t>Implementar básicos y posteriormente auditorías</t>
  </si>
  <si>
    <t>🟢</t>
  </si>
  <si>
    <t>Certificación de compresores</t>
  </si>
  <si>
    <t>Validar con EHS y Mantto Ind</t>
  </si>
  <si>
    <t>-</t>
  </si>
  <si>
    <t>Señalética NOM</t>
  </si>
  <si>
    <t>Incompleta</t>
  </si>
  <si>
    <t>No se tiene completa</t>
  </si>
  <si>
    <t>Pasos peatonales y pintura de pisos taller</t>
  </si>
  <si>
    <t>En algunos talleres se tienen despintados y en otros no se tienen</t>
  </si>
  <si>
    <t>Uso de EPP</t>
  </si>
  <si>
    <t>NO hay cultura en todos los talleres</t>
  </si>
  <si>
    <t>Asegurar con RH/EHS básicos, Zapatos, Guantes, Lentes</t>
  </si>
  <si>
    <t>Cant Flota</t>
  </si>
  <si>
    <t xml:space="preserve">Edad promedio de flota </t>
  </si>
  <si>
    <t>46% &gt; 10 años/ 20% &gt; 15 años</t>
  </si>
  <si>
    <t>Estado Físico</t>
  </si>
  <si>
    <t>Regular</t>
  </si>
  <si>
    <t>Oportunidad en defensas y golpes menores, parabrisas e interiores
+24 Climas dañados, +256 Vehs calificación &lt; 60% Atrinutos</t>
  </si>
  <si>
    <t>Se solicitaron $12.4 M para imagen 2026 y $2.6 M para renovación condensadoras de climas
Analizar convenio 40-40-20 benchmark Bimbo</t>
  </si>
  <si>
    <t>Num de plataformas</t>
  </si>
  <si>
    <t>Complejidad en variedad de ref</t>
  </si>
  <si>
    <t>Tipos de Motor</t>
  </si>
  <si>
    <t>Tipos de Transmisión ( Marca y tipo std o aut)</t>
  </si>
  <si>
    <t>% Unidades con Transmisión Manual</t>
  </si>
  <si>
    <t>Instalaciones adecuadas</t>
  </si>
  <si>
    <t>Colocar fotos</t>
  </si>
  <si>
    <t>Lineas de vida, techumbres, ásos peatonales, señalética, piso epóxico</t>
  </si>
  <si>
    <t>Garci NO HAY COMPRESOR, SOLO NI CONTACTOS ELECTRICOS, SOLO HAY UNA PLANCHA DE CONCRETO</t>
  </si>
  <si>
    <t>huINALÁ NO HAY COPRESOR</t>
  </si>
  <si>
    <t>Bahías</t>
  </si>
  <si>
    <t xml:space="preserve">Se requiere separar H-F  y A-E
Mínimo 4 bahías Juárez, 3 Laredo y 4 Reynosa
</t>
  </si>
  <si>
    <t>Fosas</t>
  </si>
  <si>
    <t xml:space="preserve">Se requieren +1 en D-J, +1 Laredo, +1 Reynosa  1 SLP
Separar H-F ( 2 fosas) 
</t>
  </si>
  <si>
    <t>Falta</t>
  </si>
  <si>
    <t>Falta de herramienta básica y especializada</t>
  </si>
  <si>
    <t>En mapeo de necesidad
Implementar control en JDE con equipo Almacén</t>
  </si>
  <si>
    <t>Tecnología</t>
  </si>
  <si>
    <t>Controles manuales/ no hay Kioskos</t>
  </si>
  <si>
    <t>Falta de Kiosko en talleres
 -Definir una División para correr piloto</t>
  </si>
  <si>
    <t>Gente</t>
  </si>
  <si>
    <t>Personal real vs requerido</t>
  </si>
  <si>
    <t>Se hace análisis por División vs factor 0.2 y % variaciór por edad de flota</t>
  </si>
  <si>
    <t>Se requeiren al menos 23 posiciones  para llevar el factor a 0.15 al menos</t>
  </si>
  <si>
    <t>Rotación anual</t>
  </si>
  <si>
    <t>42% Mecánicos, 26% aseador, 7% Capturista</t>
  </si>
  <si>
    <t>Se requiere revisar el tabulador de Capturista, está muy cerca de aseador, y evaluar cambio a nómina quincena</t>
  </si>
  <si>
    <t>Capacitaicón</t>
  </si>
  <si>
    <t>Muy poco avance en capacitación en cursos básicos</t>
  </si>
  <si>
    <t>Plan para FOSAs prioridad 1</t>
  </si>
  <si>
    <t>Perfil Líderes</t>
  </si>
  <si>
    <t>?</t>
  </si>
  <si>
    <t>Se requeire evaluar a JT y Supervisores</t>
  </si>
  <si>
    <t>Evaluar liderazgo y conocimeintos técnicos con UAS</t>
  </si>
  <si>
    <t>% Cobertura de plantilla</t>
  </si>
  <si>
    <t>Benchmark 97%</t>
  </si>
  <si>
    <t>Vacantes</t>
  </si>
  <si>
    <t>36 vacantes, buen avance, hace 1 mes había 60</t>
  </si>
  <si>
    <t>Productividad</t>
  </si>
  <si>
    <t>Tiempo Extra</t>
  </si>
  <si>
    <t>Exceso vs año ant</t>
  </si>
  <si>
    <t>% vs m+omina de semana</t>
  </si>
  <si>
    <t>Descansos Laborados</t>
  </si>
  <si>
    <t>Saldos de Vacaciones</t>
  </si>
  <si>
    <t>Pendiente dato</t>
  </si>
  <si>
    <t>CT En taller promedio x mes</t>
  </si>
  <si>
    <t>-2%  va año ant y +21% va meta, 
Cierre Sep 162 
44% Motores y trans - Mayores
23% x Refacciones
Total 74% = 5% de la flota
Resto en diagnóstico y proceso = 2% flota</t>
  </si>
  <si>
    <t>1) Apoyo a compras con un JT como expeditador
2) Apoyo Ing Veh comprando ref en Dig HF y G
3) Tarjetas travex para compras menores
4) Permuta de JT de Div DJ  y HF
5) Cambio de descanso de superviosr H y post resto
6) Seguimiento a cobertura de plantilla (92%)</t>
  </si>
  <si>
    <t>Días Taller</t>
  </si>
  <si>
    <t xml:space="preserve">NO se mide, solo de los CT </t>
  </si>
  <si>
    <t>Buscar implementar</t>
  </si>
  <si>
    <t>MKms/CT</t>
  </si>
  <si>
    <t>Meta 75 MKm |Solo hay una acción de mangueras, con avance lento</t>
  </si>
  <si>
    <t>Implementar comité para CT y para rep mayores</t>
  </si>
  <si>
    <t>Cump. Preventivos</t>
  </si>
  <si>
    <t>87.9%/
75.3%</t>
  </si>
  <si>
    <t>Se mide con DP pero  incluyen Correctivos
NO se tienen configurados MP para componentes clave
No se engrasan los vehículos
No se sondean radiadores</t>
  </si>
  <si>
    <t>Revisar que % de DP son de preventivos para proponer medir con DP o no.
Campaña de engrases/Auditados
Campaña de entradas de polvo
Dedicar a 1 técnico coo radiadorista en Local (fase 1)</t>
  </si>
  <si>
    <t>BL (sin campañas)</t>
  </si>
  <si>
    <t>No se asegura el seguimiento en vehículos con entrada a taller
+1,966 /error en macro no se veían
+2,262/ nvos manttos por componente</t>
  </si>
  <si>
    <t>Estrategia de Cada MP, cada Correctivo y cuadrilla para revisar BL de seguridad y antiguo
Validar OT realizadas y no cerradas, ejemplo Calibración de llantas, llantas ponchadas, etc</t>
  </si>
  <si>
    <t>Imagen (Atributos)</t>
  </si>
  <si>
    <t>Verde: 90% vs 95% 
Amarillo: 82% vs 90%
Rojo: 79% vs 80%</t>
  </si>
  <si>
    <t>La mayoría de daños son por golpes no reportados que al no haber reporte 911 se tendría que ir al gasto</t>
  </si>
  <si>
    <t>1)Se solicita $12.2 M para proyecto mejora en imaen 2026
2) Se propone evaluar una Buena práctica de grupo Bimbo para golpes o daños operativos 40-40-20. (1% descuento como cuota sindical que se va a un fondo adminsitrado por la empresa, y al ocurrir un accidente o daño 40% paga empresa, 40%  fondo sindicato y 20% colaborador)</t>
  </si>
  <si>
    <t>Avance lento</t>
  </si>
  <si>
    <t>Implementar seguimiento de refacciones</t>
  </si>
  <si>
    <t>Anormales</t>
  </si>
  <si>
    <t>- 3.6% Año ant</t>
  </si>
  <si>
    <t>Cambio de marca acumuladores a LTH
Revisar alternativas en bandas
Análizar causa raíz compresores motor 986</t>
  </si>
  <si>
    <t>% Preventivo vs Total OT</t>
  </si>
  <si>
    <t>el 7% de los correctivos son DP por falta de refacciones</t>
  </si>
  <si>
    <t>1) Implementar sistema de mantenimeinto (Macro proceso) para redubir correctivos y buscar proporción 30% MP y 70% correctivos)</t>
  </si>
  <si>
    <t>Factor($/Km)</t>
  </si>
  <si>
    <t>Gasto ($) vs Plan</t>
  </si>
  <si>
    <t>% Gasto con proveedores</t>
  </si>
  <si>
    <t>Reparar motores y transmisiones, marchas-alternadores internamente</t>
  </si>
  <si>
    <t>$ Mtto x unidad</t>
  </si>
  <si>
    <t>Se implementará</t>
  </si>
  <si>
    <t>Familias con oportunidad, daños operativos sin consecuentias
Identificar en OT daño op, convenio 40-40-20</t>
  </si>
  <si>
    <t>% Stock out</t>
  </si>
  <si>
    <t>% Surtido Refacciones</t>
  </si>
  <si>
    <t>UN slide aparte, travez quita tiempo a JT</t>
  </si>
  <si>
    <t>% Llantas críticas ( 2mm sin renovado)</t>
  </si>
  <si>
    <t>$/ Km (Gasto)</t>
  </si>
  <si>
    <t>$/ Km (pila)</t>
  </si>
  <si>
    <t>Km/MM</t>
  </si>
  <si>
    <t>Rendimiento en km</t>
  </si>
  <si>
    <t>Pila de Desecho</t>
  </si>
  <si>
    <t>Hay Manifiestos?</t>
  </si>
  <si>
    <t>Calidad de información sistema SIM</t>
  </si>
  <si>
    <t>NO se tiene certeza de efectividad del sistema (Físico vs SIM)</t>
  </si>
  <si>
    <t>Se pidió a Auditoria revisar 2 divisiones locales</t>
  </si>
  <si>
    <t>Semaforeo</t>
  </si>
  <si>
    <t>Bimestral</t>
  </si>
  <si>
    <t>Pulpo para calibrar llantas</t>
  </si>
  <si>
    <t>% Llantas renovadas</t>
  </si>
  <si>
    <t>Se define solo llantas de Gama media sin renovado</t>
  </si>
  <si>
    <t>Procesos Operativos</t>
  </si>
  <si>
    <t>Proceso de Ot</t>
  </si>
  <si>
    <t>Falta disciplina operativa en registro y cierre de OT</t>
  </si>
  <si>
    <t>Apego a procesos</t>
  </si>
  <si>
    <t>Falta de supervisión y llenado de controles</t>
  </si>
  <si>
    <t>Mantenimientos programdos</t>
  </si>
  <si>
    <t>Falta de seguimiento con Operaciones</t>
  </si>
  <si>
    <t>Aseo</t>
  </si>
  <si>
    <t>Oportunidad</t>
  </si>
  <si>
    <t>Oportunidad en ejecución</t>
  </si>
  <si>
    <t>1) Supervisión</t>
  </si>
  <si>
    <t>Lavados</t>
  </si>
  <si>
    <t>No se tiene infraestructura con agua tratada y falta de bailarinas</t>
  </si>
  <si>
    <t xml:space="preserve">1) definir plan de agua tratada
2) Gestionar bailarinas </t>
  </si>
  <si>
    <t>Seguimiento Quincenal (Proy 1, Proy 2, Proy 3, etc)</t>
  </si>
  <si>
    <t>SI</t>
  </si>
  <si>
    <t>Se llevan pero falta segjuimiento para asegurar efectividad</t>
  </si>
  <si>
    <t>Seguimiento quincenar con reportes directos</t>
  </si>
  <si>
    <t>Tiempos de reparación</t>
  </si>
  <si>
    <t>Altos</t>
  </si>
  <si>
    <t>Cuello de botella Surtido de refacciones y reparaciones mayores</t>
  </si>
  <si>
    <t>% Stock Out</t>
  </si>
  <si>
    <t>Working capital</t>
  </si>
  <si>
    <t>Días de inventario</t>
  </si>
  <si>
    <t>% Rotación de inventarios</t>
  </si>
  <si>
    <t>NNSS Proveedores</t>
  </si>
  <si>
    <t>Ubicación Fisica</t>
  </si>
  <si>
    <t>Flota Asignada</t>
  </si>
  <si>
    <t>Backup 10%
(Mtto/Corralón/Accidente)</t>
  </si>
  <si>
    <t>Taller</t>
  </si>
  <si>
    <t>Corralón</t>
  </si>
  <si>
    <t>Inactivas (Sobrantes)</t>
  </si>
  <si>
    <t>Total general</t>
  </si>
  <si>
    <t>Requerimiento Unidades Operar</t>
  </si>
  <si>
    <t>Diferencia Unidades Sobrantes</t>
  </si>
  <si>
    <t>Personal Técnico</t>
  </si>
  <si>
    <t>Mecánicos</t>
  </si>
  <si>
    <t>Eléctricos</t>
  </si>
  <si>
    <t>Climeros</t>
  </si>
  <si>
    <t>Llantero</t>
  </si>
  <si>
    <t>Carrocero</t>
  </si>
  <si>
    <t>Tapicero</t>
  </si>
  <si>
    <t>Radiadorista</t>
  </si>
  <si>
    <t>Unidades por Mecánico</t>
  </si>
  <si>
    <t>Ajuste Planta Mecánicos + Cubre vacaciones</t>
  </si>
  <si>
    <t>Dif</t>
  </si>
  <si>
    <t>Objetivo Unidades por Mecánico Final</t>
  </si>
  <si>
    <t>Sin aseadores/desaguadores/lavadores</t>
  </si>
  <si>
    <t>Total H - F</t>
  </si>
  <si>
    <t>Transporte industrial 80% Primer turno (Cálculo IA)</t>
  </si>
  <si>
    <t>Total D - J</t>
  </si>
  <si>
    <t>Edad 9 años</t>
  </si>
  <si>
    <t>Citi E</t>
  </si>
  <si>
    <t>Con Edad 3 a 7 años</t>
  </si>
  <si>
    <t>Citi G</t>
  </si>
  <si>
    <t>Benchmark traxion</t>
  </si>
  <si>
    <t>Citi C</t>
  </si>
  <si>
    <t>Transporte Federal 3 turnos (Cálculo IA)</t>
  </si>
  <si>
    <t>Citi A</t>
  </si>
  <si>
    <t>Citi B</t>
  </si>
  <si>
    <t xml:space="preserve">Benchmark </t>
  </si>
  <si>
    <t>LALA T1</t>
  </si>
  <si>
    <t>RED (Basura) x mtto hidráulico</t>
  </si>
  <si>
    <t>Cubre vacaciones/ausentismo</t>
  </si>
  <si>
    <t>Vacaciones</t>
  </si>
  <si>
    <t>16 días ór año</t>
  </si>
  <si>
    <t>Ausentismo ( 1 dias por año)</t>
  </si>
  <si>
    <t>Posiciones adicionales</t>
  </si>
  <si>
    <t>Rotación</t>
  </si>
  <si>
    <t>Transporte de personal</t>
  </si>
  <si>
    <t>Incapacidad ( 1 día por año)</t>
  </si>
  <si>
    <t>Aseadores</t>
  </si>
  <si>
    <t>Capacitación (6 dias por año)</t>
  </si>
  <si>
    <t>Lavadores</t>
  </si>
  <si>
    <t>Personal para  plan de imagen (HyP) general</t>
  </si>
  <si>
    <t>Transporte Federal</t>
  </si>
  <si>
    <t>Desaguador</t>
  </si>
  <si>
    <t>Bahías St</t>
  </si>
  <si>
    <t>Fosas std</t>
  </si>
  <si>
    <t>Bahías Real</t>
  </si>
  <si>
    <t>Fosas Real</t>
  </si>
  <si>
    <t>Dif Bahías</t>
  </si>
  <si>
    <t>Dif Fosas</t>
  </si>
  <si>
    <t>Reducir costo/km en al menos 5% mediante optimización de refacciones</t>
  </si>
  <si>
    <t>Objetivo borrado</t>
  </si>
  <si>
    <t>SISTEMA CORPORATIVO DE MANTENIMIENTO TRANSPAIS — PLAN 90 DÍAS</t>
  </si>
  <si>
    <t>Director Corporativo de Mantenimiento  |  Documento de Seguimiento Ejecutivo</t>
  </si>
  <si>
    <t>OBJETIVOS ESTRATÉGICOS</t>
  </si>
  <si>
    <t>Objetivo</t>
  </si>
  <si>
    <t>Prioridad</t>
  </si>
  <si>
    <t>Plazo</t>
  </si>
  <si>
    <t>O1</t>
  </si>
  <si>
    <t>Construir propuesta del gobierno corporativo de mantenimiento de Transpais</t>
  </si>
  <si>
    <t>Alta</t>
  </si>
  <si>
    <t>Día 90</t>
  </si>
  <si>
    <t>O2</t>
  </si>
  <si>
    <t>Establecer KPIs corporativos con visibilidad en tiempo real</t>
  </si>
  <si>
    <t>Proyecto</t>
  </si>
  <si>
    <t>Media</t>
  </si>
  <si>
    <t>O3</t>
  </si>
  <si>
    <t>Estandarizar procesos críticos en todos los talleres</t>
  </si>
  <si>
    <t>Baja</t>
  </si>
  <si>
    <t>O4</t>
  </si>
  <si>
    <t>Identificar y ejecutar al menos 2 Quick Wins medibles</t>
  </si>
  <si>
    <t>Día 45</t>
  </si>
  <si>
    <t>O5</t>
  </si>
  <si>
    <t>Diseñar el Roadmap estratégico 2026–2030</t>
  </si>
  <si>
    <t>O6</t>
  </si>
  <si>
    <t>Reducción de 10% en fallas en el servivcio</t>
  </si>
  <si>
    <t>Día 120</t>
  </si>
  <si>
    <t>FASES DEL ROADMAP</t>
  </si>
  <si>
    <t>Fase</t>
  </si>
  <si>
    <t>Período</t>
  </si>
  <si>
    <t>Actividades clave</t>
  </si>
  <si>
    <t>Fase 1</t>
  </si>
  <si>
    <t>Días 1–30</t>
  </si>
  <si>
    <t>Entender y Estabilizar</t>
  </si>
  <si>
    <t>Diagnóstico nacional, entrevistas ejecutivas, línea base, Quick Wins</t>
  </si>
  <si>
    <t>🟡 En curso</t>
  </si>
  <si>
    <t>Fase 2</t>
  </si>
  <si>
    <t>Días 31–60</t>
  </si>
  <si>
    <t>Controlar y Estandarizar</t>
  </si>
  <si>
    <t>KPIs corporativos, modelo organizacional, estandarización de procesos</t>
  </si>
  <si>
    <t>⬜ Pendiente</t>
  </si>
  <si>
    <t>Fase 3</t>
  </si>
  <si>
    <t>Días 61–90</t>
  </si>
  <si>
    <t>Institucionalizar y Escalar</t>
  </si>
  <si>
    <t>Estrategia 3 años, tecnología, confiabilidad, presentación DG</t>
  </si>
  <si>
    <t>🟢Completado</t>
  </si>
  <si>
    <t xml:space="preserve">INDICADORES PRINCIPALES </t>
  </si>
  <si>
    <t>KPI</t>
  </si>
  <si>
    <t>Línea Base</t>
  </si>
  <si>
    <t>Meta 90 días</t>
  </si>
  <si>
    <t>Semáforo</t>
  </si>
  <si>
    <t>Detalle requierido</t>
  </si>
  <si>
    <t>Disponibilidad % (promedio diario)</t>
  </si>
  <si>
    <t>Cumplimiento a Preventivos %</t>
  </si>
  <si>
    <t xml:space="preserve">Atendidas vs programadas, Unidades y Ots </t>
  </si>
  <si>
    <t>Unidades detenidas (promedio diario)</t>
  </si>
  <si>
    <t>8</t>
  </si>
  <si>
    <t>Por Rango de Días, Poir causa</t>
  </si>
  <si>
    <t>Costo/km</t>
  </si>
  <si>
    <t>MTBF (kms entre fallas al servicio)</t>
  </si>
  <si>
    <t>MTBF (kms entre carros tirados)</t>
  </si>
  <si>
    <t>RIESGOS CRÍTICOS</t>
  </si>
  <si>
    <t>Riesgo</t>
  </si>
  <si>
    <t>Probabilidad</t>
  </si>
  <si>
    <t>Impacto</t>
  </si>
  <si>
    <t>Nivel</t>
  </si>
  <si>
    <t>Resistencia de gerentes regionales al modelo corporativo</t>
  </si>
  <si>
    <t>Alto</t>
  </si>
  <si>
    <t>🔴 Crítico</t>
  </si>
  <si>
    <t>Datos de flota fragmentados — imposible consolidar sin acceso</t>
  </si>
  <si>
    <t>Inventario sin política → quiebres de stock en rutas críticas</t>
  </si>
  <si>
    <t>Falta de ERP/CMMS integrado — decisiones sin visibilidad real</t>
  </si>
  <si>
    <t>Medio</t>
  </si>
  <si>
    <t>🟡 Moderado</t>
  </si>
  <si>
    <t>PRIORIDADES DEL MES</t>
  </si>
  <si>
    <t>Responsable</t>
  </si>
  <si>
    <t>1</t>
  </si>
  <si>
    <t>Completar entrevistas con los 6 directores y generar mapa de expectativas</t>
  </si>
  <si>
    <t>Alejandro</t>
  </si>
  <si>
    <t>Semana 1</t>
  </si>
  <si>
    <t>2</t>
  </si>
  <si>
    <t>Visitar los 5 talleres principales y levantar matriz comparativa</t>
  </si>
  <si>
    <t>Alejandro + Coord.</t>
  </si>
  <si>
    <t>Semana 2</t>
  </si>
  <si>
    <t>3</t>
  </si>
  <si>
    <t>Consolidar datos de flota: disponibilidad, costo/km, backlog</t>
  </si>
  <si>
    <t>Coord. Datos</t>
  </si>
  <si>
    <t>Semana 3</t>
  </si>
  <si>
    <t>4</t>
  </si>
  <si>
    <t>Identificar primer Quick Win ejecutable antes del día 45</t>
  </si>
  <si>
    <t>5</t>
  </si>
  <si>
    <t>Construir baseline corporativo y presentar diagnóstico preliminar al DG</t>
  </si>
  <si>
    <t>Semana 4</t>
  </si>
  <si>
    <t>FODA?</t>
  </si>
  <si>
    <t>ROADMAP 90 DÍAS — DIRECTOR CORPORATIVO DE MANTENIMIENTO TRANSPAIS</t>
  </si>
  <si>
    <t>Semana</t>
  </si>
  <si>
    <t>Actividad</t>
  </si>
  <si>
    <t>Fecha Inicio</t>
  </si>
  <si>
    <t>Fecha Fin</t>
  </si>
  <si>
    <t>% Avance</t>
  </si>
  <si>
    <t>Impacto Esperado</t>
  </si>
  <si>
    <t>S1</t>
  </si>
  <si>
    <t>Reunión con Director General</t>
  </si>
  <si>
    <t>Entender expectativas y prioridades del DG</t>
  </si>
  <si>
    <t>Alineación estratégica desde el inicio</t>
  </si>
  <si>
    <t>Reuniones con directores funcionales</t>
  </si>
  <si>
    <t>Mapear expectativas de Ops, Finanzas, Compras, RH, TI</t>
  </si>
  <si>
    <t>Mapa de expectativas corporativo</t>
  </si>
  <si>
    <t>6 entrevistas individuales</t>
  </si>
  <si>
    <t>Revisión de reportes e información disponible</t>
  </si>
  <si>
    <t>Entender qué datos existen y en qué estado</t>
  </si>
  <si>
    <t>Inventario de información disponible</t>
  </si>
  <si>
    <t>S2</t>
  </si>
  <si>
    <t>Visita a talleres principales</t>
  </si>
  <si>
    <t>Diagnóstico físico: instalaciones, herramientas, personal</t>
  </si>
  <si>
    <t>Alejandro + Sup.</t>
  </si>
  <si>
    <t>Matriz comparativa de 5 talleres</t>
  </si>
  <si>
    <t>Norte, Sur, Centro, Bajío, NE</t>
  </si>
  <si>
    <t>Revisión de inventario de refacciones</t>
  </si>
  <si>
    <t>Conocer stock actual y criticidad</t>
  </si>
  <si>
    <t>Jefes de Taller</t>
  </si>
  <si>
    <t>Base para política de inventarios</t>
  </si>
  <si>
    <t>S3</t>
  </si>
  <si>
    <t>Levantamiento de línea base de KPIs</t>
  </si>
  <si>
    <t>Disponibilidad, costo/km, PM, MTBF, MTTR</t>
  </si>
  <si>
    <t>Baseline corporativo documentado</t>
  </si>
  <si>
    <t>Identificación de Quick Wins</t>
  </si>
  <si>
    <t>Detectar oportunidades de impacto rápido (&lt;45 días)</t>
  </si>
  <si>
    <t>Al menos 2 iniciativas ejecutables</t>
  </si>
  <si>
    <t>Mapa de riesgos operativos</t>
  </si>
  <si>
    <t>Documentar riesgos que no están siendo gestionados</t>
  </si>
  <si>
    <t>Riesgos visibles para el DG</t>
  </si>
  <si>
    <t>S4</t>
  </si>
  <si>
    <t>Construcción del diagnóstico ejecutivo</t>
  </si>
  <si>
    <t>FODA, baseline, hallazgos, riesgos</t>
  </si>
  <si>
    <t>Presentación diagnóstico al DG</t>
  </si>
  <si>
    <t>Presentación de diagnóstico al Director General</t>
  </si>
  <si>
    <t>Primer corte ejecutivo con hallazgos y Quick Wins</t>
  </si>
  <si>
    <t>Alineación y endorsement del DG</t>
  </si>
  <si>
    <t>S5</t>
  </si>
  <si>
    <t>Definir KPIs corporativos de mantenimiento</t>
  </si>
  <si>
    <t>Establecer 8–10 KPIs con definición, fórmula y meta</t>
  </si>
  <si>
    <t>Alejandro + Datos</t>
  </si>
  <si>
    <t>Dashboard corporativo operativo</t>
  </si>
  <si>
    <t>Diseñar modelo organizacional de mantenimiento</t>
  </si>
  <si>
    <t>Definir quién decide qué a nivel corporativo y regional</t>
  </si>
  <si>
    <t>Alejandro + RH</t>
  </si>
  <si>
    <t>Organigrama objetivo aprobado</t>
  </si>
  <si>
    <t>S6</t>
  </si>
  <si>
    <t>Estandarización de procesos: Preventivos</t>
  </si>
  <si>
    <t>Definir estándar único de mantenimiento preventivo</t>
  </si>
  <si>
    <t>Reducción de correctivos en 90 días</t>
  </si>
  <si>
    <t>Estandarización de procesos: Correctivos</t>
  </si>
  <si>
    <t>Protocolo único de diagnóstico y reparación</t>
  </si>
  <si>
    <t>Supervisores</t>
  </si>
  <si>
    <t>Reducción de MTTR</t>
  </si>
  <si>
    <t>S7</t>
  </si>
  <si>
    <t>Política corporativa de refacciones</t>
  </si>
  <si>
    <t>Definir stock mínimo, máximo y punto de reorden A/B/C</t>
  </si>
  <si>
    <t>Compras + Mtto</t>
  </si>
  <si>
    <t>Eliminar quiebres de stock críticos</t>
  </si>
  <si>
    <t>Estandarización de procesos: Garantías y canibalización</t>
  </si>
  <si>
    <t>Protocolo de recuperación y control</t>
  </si>
  <si>
    <t>Reducción de costos por canibalización</t>
  </si>
  <si>
    <t>S8</t>
  </si>
  <si>
    <t>Implementar rutina de seguimiento corporativo</t>
  </si>
  <si>
    <t>Reunión semanal de KPIs con regiones</t>
  </si>
  <si>
    <t>Visibilidad en tiempo real del sistema</t>
  </si>
  <si>
    <t>Control de unidades detenidas y backlog</t>
  </si>
  <si>
    <t>Sistema de seguimiento diario por taller</t>
  </si>
  <si>
    <t>Reducir backlog &gt;30 días en 40%</t>
  </si>
  <si>
    <t>S9</t>
  </si>
  <si>
    <t>Diseñar roadmap tecnológico 24 meses</t>
  </si>
  <si>
    <t>ERP, CMMS, Telemetría, Power BI — evaluación y plan</t>
  </si>
  <si>
    <t>TI + Alejandro</t>
  </si>
  <si>
    <t>Plan tecnológico aprobado por DG</t>
  </si>
  <si>
    <t>S10</t>
  </si>
  <si>
    <t>Programa de Confiabilidad</t>
  </si>
  <si>
    <t>Top 20 componentes críticos, plan de intervención</t>
  </si>
  <si>
    <t>Ingeniería Mtto</t>
  </si>
  <si>
    <t>Reducción de fallas recurrentes</t>
  </si>
  <si>
    <t>S11</t>
  </si>
  <si>
    <t>Matriz de competencias técnicas</t>
  </si>
  <si>
    <t>Diagnóstico de brechas y plan de desarrollo</t>
  </si>
  <si>
    <t>RH + Alejandro</t>
  </si>
  <si>
    <t>Plan de capacitación 12 meses</t>
  </si>
  <si>
    <t>S12</t>
  </si>
  <si>
    <t>Construcción presentación Día 90 al DG</t>
  </si>
  <si>
    <t>Aprobación del plan estratégico</t>
  </si>
  <si>
    <t>Presentación ejecutiva al Director General — Día 90</t>
  </si>
  <si>
    <t>Diagnóstico, resultados, estrategia 2026–2028</t>
  </si>
  <si>
    <t>Endorsement y presupuesto aprobado</t>
  </si>
  <si>
    <t>Hito más importante del período</t>
  </si>
  <si>
    <t>DIAGNÓSTICO NACIONAL DE TALLERES — TRANSPAIS</t>
  </si>
  <si>
    <t>Región</t>
  </si>
  <si>
    <t>Unidades
Asignadas</t>
  </si>
  <si>
    <t>Disponibilidad
Actual</t>
  </si>
  <si>
    <t>Unidades
Detenidas</t>
  </si>
  <si>
    <t>Backlog
(órdenes)</t>
  </si>
  <si>
    <t>Principales Fallas</t>
  </si>
  <si>
    <t>Nivel de
Madurez</t>
  </si>
  <si>
    <t>Riesgo
Operativo</t>
  </si>
  <si>
    <t>Acciones Recomendadas</t>
  </si>
  <si>
    <t>Monterrey Norte</t>
  </si>
  <si>
    <t>Noreste</t>
  </si>
  <si>
    <t>Frenos, sistema eléctrico, neumáticos</t>
  </si>
  <si>
    <t>Avanzado</t>
  </si>
  <si>
    <t>Replicar como modelo estándar; documentar procesos</t>
  </si>
  <si>
    <t>Monterrey Sur</t>
  </si>
  <si>
    <t>Motor, transmisión, aire acondicionado</t>
  </si>
  <si>
    <t>Intermedio</t>
  </si>
  <si>
    <t>Estandarizar PM; reducir backlog en 30 días</t>
  </si>
  <si>
    <t>Ciudad de México</t>
  </si>
  <si>
    <t>Centro</t>
  </si>
  <si>
    <t>Motor, eléctrico, frenos, suspensión</t>
  </si>
  <si>
    <t>Básico</t>
  </si>
  <si>
    <t>Intervención prioritaria; reforzar supervisión y preventivos</t>
  </si>
  <si>
    <t>Guadalajara</t>
  </si>
  <si>
    <t>Occidente</t>
  </si>
  <si>
    <t>Transmisión, neumáticos, luces</t>
  </si>
  <si>
    <t>Fortalecer política de refacciones A/B; implementar PM</t>
  </si>
  <si>
    <t>San Luis Potosí</t>
  </si>
  <si>
    <t>Bajío</t>
  </si>
  <si>
    <t>Frenos, aire acondicionado</t>
  </si>
  <si>
    <t>Mantener; capacitar para replicar mejores prácticas</t>
  </si>
  <si>
    <t>Tampico</t>
  </si>
  <si>
    <t>Motor, caja, eléctrico</t>
  </si>
  <si>
    <t>Diagnóstico urgente de motores; revisar proveedores locales</t>
  </si>
  <si>
    <t>León</t>
  </si>
  <si>
    <t>Suspensión, frenos, neumáticos</t>
  </si>
  <si>
    <t>Implementar control de backlog; reforzar PM semanal</t>
  </si>
  <si>
    <t>Querétaro</t>
  </si>
  <si>
    <t>Eléctrico, AC</t>
  </si>
  <si>
    <t>Taller de referencia para Bajío; documentar procesos</t>
  </si>
  <si>
    <t>TOTAL FLOTA</t>
  </si>
  <si>
    <t>KPIs CORPORATIVOS DE MANTENIMIENTO — TRANSPAIS</t>
  </si>
  <si>
    <t>Pilar</t>
  </si>
  <si>
    <t>Definición</t>
  </si>
  <si>
    <t>Meta 30 días</t>
  </si>
  <si>
    <t>Meta 60 días</t>
  </si>
  <si>
    <t>Resultado
Actual</t>
  </si>
  <si>
    <t>Desviación</t>
  </si>
  <si>
    <t>Comentario Ejecutivo</t>
  </si>
  <si>
    <t>Disponibilidad de flota</t>
  </si>
  <si>
    <t>Servicio</t>
  </si>
  <si>
    <t>% de unidades disponibles vs. total asignado en el día</t>
  </si>
  <si>
    <t>88.2%</t>
  </si>
  <si>
    <t>89%</t>
  </si>
  <si>
    <t>91%</t>
  </si>
  <si>
    <t>93%</t>
  </si>
  <si>
    <t>Prioridad crítica. CDP: CDMX y Tampico con disponibilidad &lt;85%</t>
  </si>
  <si>
    <t>Costo por kilómetro</t>
  </si>
  <si>
    <t>Costo</t>
  </si>
  <si>
    <t>Costo total de mantenimiento / km recorridos por la flota</t>
  </si>
  <si>
    <t>$4.85</t>
  </si>
  <si>
    <t>$4.70</t>
  </si>
  <si>
    <t>$4.50</t>
  </si>
  <si>
    <t>$4.20</t>
  </si>
  <si>
    <t>Ruta CDMX-Monterrey con costo 38% sobre benchmark</t>
  </si>
  <si>
    <t>% de órdenes de mantenimiento preventivo ejecutadas vs. programadas</t>
  </si>
  <si>
    <t>71%</t>
  </si>
  <si>
    <t>78%</t>
  </si>
  <si>
    <t>83%</t>
  </si>
  <si>
    <t>88%</t>
  </si>
  <si>
    <t>Talleres CDMX y Tampico con &lt;60% de cumplimiento</t>
  </si>
  <si>
    <t>Unidades detenidas (diario)</t>
  </si>
  <si>
    <t>Promedio de unidades sin operar por mantenimiento cada día</t>
  </si>
  <si>
    <t>14</t>
  </si>
  <si>
    <t>12</t>
  </si>
  <si>
    <t>10</t>
  </si>
  <si>
    <t>7</t>
  </si>
  <si>
    <t>Equivale a ~$210K diarios en ingresos no generados</t>
  </si>
  <si>
    <t>Carros Tirados (#)</t>
  </si>
  <si>
    <t>Unidades Tiradas en ruta (Transpordos)</t>
  </si>
  <si>
    <t>18</t>
  </si>
  <si>
    <t>20</t>
  </si>
  <si>
    <t>22</t>
  </si>
  <si>
    <t>25</t>
  </si>
  <si>
    <t>Motores y transmisiones como principales vectores de baja</t>
  </si>
  <si>
    <t>Fallas al Servicio (#)</t>
  </si>
  <si>
    <t>Afectaciones al servicio</t>
  </si>
  <si>
    <t>7.0</t>
  </si>
  <si>
    <t>Problema de refacciones: 60% del tiempo es espera de partes</t>
  </si>
  <si>
    <t>Revisar si se tiene como medir</t>
  </si>
  <si>
    <t>Media de días entre fallas durante el servicio</t>
  </si>
  <si>
    <t>Media de días entre carros tirados</t>
  </si>
  <si>
    <t>Backlog total (órdenes/Veh)</t>
  </si>
  <si>
    <t>Órdenes de trabajo pendientes de ejecutar en toda la flota</t>
  </si>
  <si>
    <t>199</t>
  </si>
  <si>
    <t>170</t>
  </si>
  <si>
    <t>130</t>
  </si>
  <si>
    <t>90</t>
  </si>
  <si>
    <t>CDMX concentra el 29% del backlog nacional</t>
  </si>
  <si>
    <t>Validar si conviene  más Ot / Vehículo y separar  Preventivos y correctivos</t>
  </si>
  <si>
    <t>Cumplimiento de garantías</t>
  </si>
  <si>
    <t>% de garantías reclamadas vs. total elegible</t>
  </si>
  <si>
    <t>34%</t>
  </si>
  <si>
    <t>50%</t>
  </si>
  <si>
    <t>65%</t>
  </si>
  <si>
    <t>80%</t>
  </si>
  <si>
    <t>Pérdida estimada de $2.1M anuales por garantías no reclamadas</t>
  </si>
  <si>
    <t>Canibalización de unidades</t>
  </si>
  <si>
    <t>% de unidades canibalizada para obtener refacciones</t>
  </si>
  <si>
    <t>8.2%</t>
  </si>
  <si>
    <t>6%</t>
  </si>
  <si>
    <t>4%</t>
  </si>
  <si>
    <t>12 unidades en condición de canibalización activa actualmente</t>
  </si>
  <si>
    <t>Cobertura refacciones A</t>
  </si>
  <si>
    <t>Días de cobertura disponibles para refacciones críticas Clase A</t>
  </si>
  <si>
    <t>Motores: cobertura de solo 11 días. Riesgo de paro</t>
  </si>
  <si>
    <t>Pasajeros Afectados</t>
  </si>
  <si>
    <t>Pasajeros afectados por fallas en el servicio</t>
  </si>
  <si>
    <t>9.4</t>
  </si>
  <si>
    <t>Hora fin de rescate-Hora reporte de falla</t>
  </si>
  <si>
    <t>BackLog Preventivo</t>
  </si>
  <si>
    <t>Cantidad de OT Preventivas sin ejecutar</t>
  </si>
  <si>
    <t>BackLog Correctivo</t>
  </si>
  <si>
    <t>Cantidad de OT Correctivas sin ejecutar</t>
  </si>
  <si>
    <t>Working Capital</t>
  </si>
  <si>
    <t>Valor de inventario ($)</t>
  </si>
  <si>
    <t>Días de Inventario</t>
  </si>
  <si>
    <t>Valor de inventario ($)/ Valor de consumo diario de refacciones ($)</t>
  </si>
  <si>
    <t>Rotación de inventarios</t>
  </si>
  <si>
    <t>Valor de refacciones consumidas en el mes $/ Valor de inventario de inventario promedio$
Valor de inentario promedio de ref ($)= Valor de inv inicial + valor de inv final / 2</t>
  </si>
  <si>
    <t>$ Ajuste de inventario de refacciones</t>
  </si>
  <si>
    <t>Valor de diferencias de inventario ajustadas ($)</t>
  </si>
  <si>
    <t>Movimiento de Refacciones 0-30 Días</t>
  </si>
  <si>
    <t>% de valor de refacciones que se mueven entre 0 y 30 días</t>
  </si>
  <si>
    <t>Movimiento de Refacciones 31-60 Días</t>
  </si>
  <si>
    <t>% de valor de refacciones que se mueven entre 31 y 60 días</t>
  </si>
  <si>
    <t>Movimiento de Refacciones 61-120 Días</t>
  </si>
  <si>
    <t>% de valor de refacciones que se muevenentre 61 y 120 días</t>
  </si>
  <si>
    <t>Refaciones sin movimiento (&gt; 120 Días)</t>
  </si>
  <si>
    <t>% de valor de refacciones que se mueven &gt; 120 días</t>
  </si>
  <si>
    <t>Nivel de servicio Refacciones (proveedores)</t>
  </si>
  <si>
    <t>Prom de % pedidos de  refacciones surtidos en en tiempo y % de pedidos de refacciones surtidos completos</t>
  </si>
  <si>
    <t>Cumplimiento a Preventivos Climas %</t>
  </si>
  <si>
    <t>Ot atendidas vs ot programadas de climas</t>
  </si>
  <si>
    <t>Semaforeo de Llantas</t>
  </si>
  <si>
    <t>Cumplimiento a semaforeo mensual en Federeal y bimestral en personal</t>
  </si>
  <si>
    <t>% Llantas 0 - 3 mm</t>
  </si>
  <si>
    <t>Rotación de personal</t>
  </si>
  <si>
    <t>% ausentimo</t>
  </si>
  <si>
    <t>% de valor de tiempo extra vs  Valor ($) de nómina semanal</t>
  </si>
  <si>
    <t>Días perdidos por incapacidad</t>
  </si>
  <si>
    <t>Productividad de técnicos</t>
  </si>
  <si>
    <t>% de productividad = Horas de Ot standas ejecutadas por técnico / Horas útiles del mes</t>
  </si>
  <si>
    <t>Plan de vacaciones</t>
  </si>
  <si>
    <t>Cumplimiento</t>
  </si>
  <si>
    <t>Plan de capacitación</t>
  </si>
  <si>
    <t xml:space="preserve">% Calificación atributos </t>
  </si>
  <si>
    <t>% de refacciones anormales</t>
  </si>
  <si>
    <t>Refacciones que no cumplen vida útil Vs Total de refacciones medidas</t>
  </si>
  <si>
    <t># de Ot con fallas recurrentes en el mes</t>
  </si>
  <si>
    <t># Ots de la misma falla misma unidad en el mes</t>
  </si>
  <si>
    <t>MTTR (horas)</t>
  </si>
  <si>
    <t>Tiempo promedio para completar una reparación correctiva</t>
  </si>
  <si>
    <t>Indicador Operativo</t>
  </si>
  <si>
    <t>Fórmula</t>
  </si>
  <si>
    <t>Ene</t>
  </si>
  <si>
    <t>Feb</t>
  </si>
  <si>
    <t>MA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</si>
  <si>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</si>
  <si>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</si>
  <si>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</si>
  <si>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</si>
  <si>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</si>
  <si>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</si>
  <si>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</si>
  <si>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</si>
  <si>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</si>
  <si>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Acum</t>
  </si>
  <si>
    <t>Meta</t>
  </si>
  <si>
    <t>% Var Vs Mes Ant</t>
  </si>
  <si>
    <t>Tend</t>
  </si>
  <si>
    <t>5.0 Proceso de Mantenimiento</t>
  </si>
  <si>
    <t>1 Disponibilidad de Unidades</t>
  </si>
  <si>
    <t>(Tiempo servicio + Tiempo espera  / Total tiempo) × 100 | Resp: Gerente</t>
  </si>
  <si>
    <t>2 Menor costo Mantenimiento</t>
  </si>
  <si>
    <t>Costo total de mtto l / (% Disponibilidad × Mes) × 100 | Resp: Gerente</t>
  </si>
  <si>
    <t>3 Cumplimiento estándares de servicio</t>
  </si>
  <si>
    <t>(Cumplimiento Std / Total estándares auditados) × 100 | Resp: Gerente</t>
  </si>
  <si>
    <t>4 Menor costo por atriutos</t>
  </si>
  <si>
    <t>Costo total mantenimiento / (% Atributos × Mes) × 100 | Resp: Gerente</t>
  </si>
  <si>
    <t>5 Costo de Mantenimiento por unidad</t>
  </si>
  <si>
    <t>Costo total de mantenimiento / Número de unidades | Resp: Gerente</t>
  </si>
  <si>
    <t>6 % Manteniiento Preventivo vs Correctivo</t>
  </si>
  <si>
    <t>(Mto. Preventivo / Mto. Total) × 100 | Resp: Gerente</t>
  </si>
  <si>
    <t>7 Cumplimiento del plan de Mantenimiento</t>
  </si>
  <si>
    <t>(OT ejecutadas / OT programadas) × 100 | Resp: Gerente</t>
  </si>
  <si>
    <t>8 Indice de Reincidencia de Fallas</t>
  </si>
  <si>
    <t>(Fallas repetidas / Total de fallas corregidas) × 100 | Resp: Gerente</t>
  </si>
  <si>
    <t>5.1 Detección de Fallas y Generación de OT</t>
  </si>
  <si>
    <t>1 Mantenimiento Predictivo</t>
  </si>
  <si>
    <t>(Fallas detectadas preventivamente / Total fallas) × 100 | Resp: Jefe Taller</t>
  </si>
  <si>
    <t>2 Tiempo de Generación de OT</t>
  </si>
  <si>
    <t>Tiempo desde detección hasta OT generada (horas) | Resp: Supervisor</t>
  </si>
  <si>
    <t>3 Calida de OT generadas</t>
  </si>
  <si>
    <t>(OT sin errores / Total OT) × 100 | Resp: Supervisor</t>
  </si>
  <si>
    <t>4 Clasificación Correcta de Fallas</t>
  </si>
  <si>
    <t>(OT bien clasificadas / Total OT) × 100 | Resp: Jefe Taller</t>
  </si>
  <si>
    <t>5 Tasa de Conversión</t>
  </si>
  <si>
    <t>(Solicitudes convertidas en OT / Total solicitudes) × 100 | Resp: Supervisor</t>
  </si>
  <si>
    <t>6 Efectividad de Fallas Detectadas en Diagnóstico</t>
  </si>
  <si>
    <t>(Fallas detectadas en diag. / Fallas encon durante el mtto) × 100 | Resp: Técnico</t>
  </si>
  <si>
    <t>7 Calidad n el Diagnóstico</t>
  </si>
  <si>
    <t>(Diagnósticos correctos / Total diagnósticos) × 100 | Resp: Técnico</t>
  </si>
  <si>
    <t>5.2 Planeación de Mantenimiento</t>
  </si>
  <si>
    <t>1 Cumplimiento del Plan Mensual</t>
  </si>
  <si>
    <t>(OT ejecutadas / OT planificadas) × 100 | Resp: Jefe Planeación</t>
  </si>
  <si>
    <t>2 Disponibilidad de Recursos en la Planeación</t>
  </si>
  <si>
    <t>(Recursos disponibles / Recursos requeridos) × 100 | Resp: Jefe Planeación</t>
  </si>
  <si>
    <t>3 Precisión en Estimación de Tiempo de Ejecución</t>
  </si>
  <si>
    <t>(Tiempo real / Tiempo planeado) × 100 | Resp: Jefe Planeación</t>
  </si>
  <si>
    <t>4 Precisión en Estimación de Costos</t>
  </si>
  <si>
    <t>(Costo real / Costo planeado) × 100 | Resp: Jefe Planeación</t>
  </si>
  <si>
    <t>5 Backlog Pendiente de Planear</t>
  </si>
  <si>
    <t>Total de OT creadas − OT ya planeadas| Resp: Jefe Planeación</t>
  </si>
  <si>
    <t>6 Aprovechamiento de Mano de Obra</t>
  </si>
  <si>
    <t>(Horas planificadas / Horas disponibles) × 100 | Resp: Jefe Planeación</t>
  </si>
  <si>
    <t>7 Plan de Mantenimiento Preventivo</t>
  </si>
  <si>
    <t>(Mto. Preventivo ejecutado / Mto. Preventivo planeado) × 100 | Resp: Jefe Taller</t>
  </si>
  <si>
    <t>5.3 Programación de Mantenimiento</t>
  </si>
  <si>
    <t>1 Cumplimiento Programación Semanal</t>
  </si>
  <si>
    <t>(OT ejecutadas / OT programadas) × 100 | Jefe Planeación</t>
  </si>
  <si>
    <t>2 Reprogramaciones</t>
  </si>
  <si>
    <t>(OT reprogramadas / Total) × 100 | Jefe Planeación</t>
  </si>
  <si>
    <t>3 Aprovechamiento de Unidades</t>
  </si>
  <si>
    <t>(Horarios disp / % de Horarios de trabajo programados) × 100 | Jefe Planeación</t>
  </si>
  <si>
    <t>4 Balance Carga Trabajo</t>
  </si>
  <si>
    <t>Horarios Programados / Horas Laboradas Jefe Taller × 100 | Jefe Planeación</t>
  </si>
  <si>
    <t>5 Priorización Adecuada | Meta: 100%</t>
  </si>
  <si>
    <t>(T. trascurrido desde el diag. hasta le ejec  / Criticidad (3 Criticidades)  × 100 | JT</t>
  </si>
  <si>
    <t>(Horas planificadas / Horas disponibles) × 100</t>
  </si>
  <si>
    <t>5.4 Ejecución de Órdenes de Trabajo</t>
  </si>
  <si>
    <t>1 Primera Vez Bien (Que lo haga de la manera correcta)</t>
  </si>
  <si>
    <t>( Trabajos realizados bien / Total de revisados ) X 100 | Resp: Supervisor Taller</t>
  </si>
  <si>
    <t>2 Tasa de Efectividad en Reparación</t>
  </si>
  <si>
    <t>( Rep exitosas / Total de rep ) × 100 | Resp: Técnico Mecánico, definir Kilometraje</t>
  </si>
  <si>
    <t>MTTR</t>
  </si>
  <si>
    <t>MTBF</t>
  </si>
  <si>
    <t>Vaidar fómula en BSC LALA</t>
  </si>
  <si>
    <t>Productividad de técnicos/supervisores</t>
  </si>
  <si>
    <t>Mar</t>
  </si>
  <si>
    <t>Carros Taller Promedio Nacional</t>
  </si>
  <si>
    <t>$ / Km Mantto Nacional</t>
  </si>
  <si>
    <t>Cump. Manttto Preventivo &lt; 110%</t>
  </si>
  <si>
    <t>Miles de Km / Carro Tirado</t>
  </si>
  <si>
    <t>Back Log</t>
  </si>
  <si>
    <t>Reconstrucción</t>
  </si>
  <si>
    <t>Llantas críticas (&lt;= 2mm)</t>
  </si>
  <si>
    <t>Cumplimiento a semáforo de llantas</t>
  </si>
  <si>
    <t>Rotación de Personal</t>
  </si>
  <si>
    <t>Tiempo Extra % Sueldo base</t>
  </si>
  <si>
    <t>Tiempo Extra Nacional (hrs)/ Sem</t>
  </si>
  <si>
    <t>Descanso Laborado / sem</t>
  </si>
  <si>
    <t>REFACCIONES CRÍTICAS — POLÍTICA CORPORATIVA DE INVENTARIOS</t>
  </si>
  <si>
    <t>Categoría</t>
  </si>
  <si>
    <t>Refacción Crítica</t>
  </si>
  <si>
    <t>Aplicación</t>
  </si>
  <si>
    <t>Consumo
Mensual Est.</t>
  </si>
  <si>
    <t>Stock
Actual</t>
  </si>
  <si>
    <t>Stock
Mínimo</t>
  </si>
  <si>
    <t>Stock
Máximo</t>
  </si>
  <si>
    <t>Cobertura
(días)</t>
  </si>
  <si>
    <t>Proveedor</t>
  </si>
  <si>
    <t>Riesgo
Desabasto</t>
  </si>
  <si>
    <t>Acción Requerida</t>
  </si>
  <si>
    <t>A – Crítico</t>
  </si>
  <si>
    <t>Motor diésel completo (Cummins ISB 6.7)</t>
  </si>
  <si>
    <t>Flota completa</t>
  </si>
  <si>
    <t>Cummins México</t>
  </si>
  <si>
    <t>Negociar contrato marco inmediato con Cummins</t>
  </si>
  <si>
    <t>Transmisión automática (Allison 2100)</t>
  </si>
  <si>
    <t>Flota urbana</t>
  </si>
  <si>
    <t>Allison Transmission</t>
  </si>
  <si>
    <t>Establecer almacén regional Norte con stock mínimo 4 pzas</t>
  </si>
  <si>
    <t>B – Importante</t>
  </si>
  <si>
    <t>Bomba de inyección diésel</t>
  </si>
  <si>
    <t>Flota diésel</t>
  </si>
  <si>
    <t>Bosch México</t>
  </si>
  <si>
    <t>Incrementar stock a mínimo 6 unidades en almacén central</t>
  </si>
  <si>
    <t>C – Normal</t>
  </si>
  <si>
    <t>🟢 Bajo</t>
  </si>
  <si>
    <t>Compresor de aire acondicionado</t>
  </si>
  <si>
    <t>Sanden / Valeo</t>
  </si>
  <si>
    <t>Revisar contratos con 2 proveedores; asegurar entrega &lt;72 hrs</t>
  </si>
  <si>
    <t>Diferencial trasero completo</t>
  </si>
  <si>
    <t>Flota interurbana</t>
  </si>
  <si>
    <t>Dana Incorporated</t>
  </si>
  <si>
    <t>Programa de reconstrucción para reducir dependencia de OEM</t>
  </si>
  <si>
    <t>Balatas (juego completo eje delantero)</t>
  </si>
  <si>
    <t>Bendix / Haldex</t>
  </si>
  <si>
    <t>Mantener; negociar precio por volumen anual</t>
  </si>
  <si>
    <t>Amortiguadores (par delantero)</t>
  </si>
  <si>
    <t>Monroe / Gabriel</t>
  </si>
  <si>
    <t>Estandarizar marca; centralizar compra nacional</t>
  </si>
  <si>
    <t>Filtro de aire motor</t>
  </si>
  <si>
    <t>Donaldson / Mann+H</t>
  </si>
  <si>
    <t>Stock suficiente; revisar en 60 días</t>
  </si>
  <si>
    <t>Batería 24V (banco doble)</t>
  </si>
  <si>
    <t>Optima / MAC</t>
  </si>
  <si>
    <t>Aumentar stock; revisar garantías no reclamadas</t>
  </si>
  <si>
    <t>Radiador de motor</t>
  </si>
  <si>
    <t>Modine / Delphi</t>
  </si>
  <si>
    <t>Evaluar programa de reconstrucción vs. compra nueva</t>
  </si>
  <si>
    <t>Faros LED (juego)</t>
  </si>
  <si>
    <t>Flota nueva</t>
  </si>
  <si>
    <t>Hella / Valeo</t>
  </si>
  <si>
    <t>Stock adecuado; consolidar pedido mensual</t>
  </si>
  <si>
    <t>Escobillas limpiaparabrisas</t>
  </si>
  <si>
    <t>Bosch / Trico</t>
  </si>
  <si>
    <t>Incluir en kit de PM mensual</t>
  </si>
  <si>
    <t>Foco H7 / LED auxiliar</t>
  </si>
  <si>
    <t>Osram / Philips</t>
  </si>
  <si>
    <t>Centralizar compra; revisar marcas sustitutas</t>
  </si>
  <si>
    <t>ESTANDARIZACIÓN DE PROCESOS — DIRECCIÓN CORPORATIVA DE MANTENIMIENTO</t>
  </si>
  <si>
    <t>Proceso</t>
  </si>
  <si>
    <t>Situación Actual</t>
  </si>
  <si>
    <t>Brecha Detectada</t>
  </si>
  <si>
    <t>Estándar Propuesto</t>
  </si>
  <si>
    <t>Fecha Compromiso</t>
  </si>
  <si>
    <t>Nivel de Avance</t>
  </si>
  <si>
    <t>Mantenimiento Preventivo</t>
  </si>
  <si>
    <t>Cada taller define su propio calendario y checklist</t>
  </si>
  <si>
    <t>Sin estándar único — 6 versiones diferentes de PM</t>
  </si>
  <si>
    <t>Manual único de PM por tipo de unidad con intervalos fijos en km y días</t>
  </si>
  <si>
    <t>Jefes Taller + Coord. Mtto</t>
  </si>
  <si>
    <t>0%</t>
  </si>
  <si>
    <t>Reducir correctivos en 25%; mejorar disponibilidad +3%</t>
  </si>
  <si>
    <t>Mantenimiento Correctivo</t>
  </si>
  <si>
    <t>Diagnóstico informal — sin protocolo documentado</t>
  </si>
  <si>
    <t>Tiempo de diagnóstico variable (2-8 hrs); sin registro de causa raíz</t>
  </si>
  <si>
    <t>Protocolo de diagnóstico en 4 pasos con árbol de falla y registro obligatorio</t>
  </si>
  <si>
    <t>Supervisores de Taller</t>
  </si>
  <si>
    <t>Reducir MTTR de 9.4 a 6.0 hrs en 90 días</t>
  </si>
  <si>
    <t>Gestión de Refacciones</t>
  </si>
  <si>
    <t>Compra reactiva — sin política de stock mínimo/máximo</t>
  </si>
  <si>
    <t>Quiebres de stock frecuentes; canibalización al 8.2%</t>
  </si>
  <si>
    <t>Política A/B/C con stock mínimo/máximo y punto de reorden por taller</t>
  </si>
  <si>
    <t>Eliminar quiebres de stock críticos; reducir canibalización a &lt;2%</t>
  </si>
  <si>
    <t>Reclamación de Garantías</t>
  </si>
  <si>
    <t>Proceso ad hoc — sin responsable definido</t>
  </si>
  <si>
    <t>Solo el 34% de garantías elegibles son reclamadas</t>
  </si>
  <si>
    <t>Protocolo documentado con responsable, plazos y sistema de seguimiento</t>
  </si>
  <si>
    <t>Coord. Garantías</t>
  </si>
  <si>
    <t>Recuperar estimado $2.1M anuales en garantías no reclamadas</t>
  </si>
  <si>
    <t>Canibalización de Unidades</t>
  </si>
  <si>
    <t>Sin control — decisión del jefe de taller sin autorización formal</t>
  </si>
  <si>
    <t>Sin registro de unidades canibaliz.; 12 activas sin plan de recuperación</t>
  </si>
  <si>
    <t>Proceso de autorización formal con plan de recuperación obligatorio &lt;60 días</t>
  </si>
  <si>
    <t>Dir. Corporativo Mtto</t>
  </si>
  <si>
    <t>Recuperar 8 de 12 unidades en situación de canibalización activa</t>
  </si>
  <si>
    <t>Control de Backlog</t>
  </si>
  <si>
    <t>Sin seguimiento sistemático del backlog de órdenes</t>
  </si>
  <si>
    <t>199 órdenes pendientes — CDMX con 58 sin fecha compromiso</t>
  </si>
  <si>
    <t>Revisión diaria de backlog con semáforo por taller y escalación automática</t>
  </si>
  <si>
    <t>Coord. Datos + Supervisores</t>
  </si>
  <si>
    <t>Reducir backlog a &lt;90 órdenes en 90 días</t>
  </si>
  <si>
    <t>Gestión de Proveedores</t>
  </si>
  <si>
    <t>Negociación local por taller — sin convenios corporativos</t>
  </si>
  <si>
    <t>Precios diferentes por región para la misma refacción (hasta 40% diferencia)</t>
  </si>
  <si>
    <t>Panel de proveedores nacional con contratos marco y precios corporativos</t>
  </si>
  <si>
    <t>Compras Corporativo</t>
  </si>
  <si>
    <t>Reducir costo de refacciones en 12–18% con volumen consolidado</t>
  </si>
  <si>
    <t>Reporte de Indicadores</t>
  </si>
  <si>
    <t>Reporte manual en Excel — semanal, sin estándar</t>
  </si>
  <si>
    <t>Cada taller reporta diferente; imposible consolidar</t>
  </si>
  <si>
    <t>Dashboard corporativo semanal con KPIs homologados y fuente única de datos</t>
  </si>
  <si>
    <t>Coord. Datos + TI</t>
  </si>
  <si>
    <t>Visibilidad real en tiempo real; base para decisiones ejecutivas</t>
  </si>
  <si>
    <t>Unidades detenidas</t>
  </si>
  <si>
    <t>NO hay segjimiento de cuantos días pasan las unidades en taller y cuantas unidades quedan en taller diario</t>
  </si>
  <si>
    <t>No hay estándar de días</t>
  </si>
  <si>
    <t>Implementar reportre de seguimiento de unidades en taller y definir estádar de máximo 30 días para levantar warning</t>
  </si>
  <si>
    <t>PROGRAMA DE CONFIABILIDAD — TOP COMPONENTES CRÍTICOS</t>
  </si>
  <si>
    <t>Sistema</t>
  </si>
  <si>
    <t>Componente
Crítico</t>
  </si>
  <si>
    <t>Falla Recurrente</t>
  </si>
  <si>
    <t>Frecuencia
(fallas/mes)</t>
  </si>
  <si>
    <t>Impacto
Operativo</t>
  </si>
  <si>
    <t>Causa Probable</t>
  </si>
  <si>
    <t>Acción Correctiva</t>
  </si>
  <si>
    <t>Acción Preventiva</t>
  </si>
  <si>
    <t>KPI Asociado</t>
  </si>
  <si>
    <t>Motor</t>
  </si>
  <si>
    <t>Motor diésel Cummins ISB</t>
  </si>
  <si>
    <t>Sobrecalentamiento / pérdida de potencia</t>
  </si>
  <si>
    <t>Alto — para unidad completa</t>
  </si>
  <si>
    <t>Falla en sistema de enfriamiento; filtros obstruidos</t>
  </si>
  <si>
    <t>Diagnóstico completo; reconstrucción o sustitución</t>
  </si>
  <si>
    <t>PM cada 15,000 km; monitoreo de temperatura y presión aceite</t>
  </si>
  <si>
    <t>MTBF motor; costo/motor</t>
  </si>
  <si>
    <t>Bomba de agua</t>
  </si>
  <si>
    <t>Fuga / ruido / sobrecalentamiento</t>
  </si>
  <si>
    <t>Alto — puede fundir motor</t>
  </si>
  <si>
    <t>Desgaste de sello; cavitación por agua no tratada</t>
  </si>
  <si>
    <t>Sustitución inmediata al detectar fuga o ruido</t>
  </si>
  <si>
    <t>PM preventivo cada 60,000 km; análisis de agua del radiador</t>
  </si>
  <si>
    <t>MTBF motor; disponibilidad</t>
  </si>
  <si>
    <t>Transmisión</t>
  </si>
  <si>
    <t>Caja automática Allison</t>
  </si>
  <si>
    <t>Resbalamiento de velocidades / ruido</t>
  </si>
  <si>
    <t>Alto — unidad fuera de servicio</t>
  </si>
  <si>
    <t>Aceite contaminado; desgaste de embragues internos</t>
  </si>
  <si>
    <t>Reconstrucción en taller especializado o sustitución</t>
  </si>
  <si>
    <t>Cambio de aceite ATF cada 80,000 km; revisión de controles</t>
  </si>
  <si>
    <t>MTTR transmisión; costo/km</t>
  </si>
  <si>
    <t>Sistema Eléctrico</t>
  </si>
  <si>
    <t>Alternador / banco de baterías</t>
  </si>
  <si>
    <t>Carga insuficiente / no arranca</t>
  </si>
  <si>
    <t>Medio — paro en ruta</t>
  </si>
  <si>
    <t>Baterías con &gt;3 años; alternador deficiente</t>
  </si>
  <si>
    <t>Sustitución de batería + diagnóstico de alternador</t>
  </si>
  <si>
    <t>Revisión mensual de carga; sustitución proactiva a los 30 meses</t>
  </si>
  <si>
    <t>Disponibilidad; incidentes en ruta</t>
  </si>
  <si>
    <t>Frenos</t>
  </si>
  <si>
    <t>Sistema de frenos neumáticos</t>
  </si>
  <si>
    <t>Fuga de aire / pedal esponjoso</t>
  </si>
  <si>
    <t>Alto — riesgo de seguridad</t>
  </si>
  <si>
    <t>Mangueras agrietadas; válvulas desgastadas; falta de PM</t>
  </si>
  <si>
    <t>Revisión completa del sistema; sustitución de elementos</t>
  </si>
  <si>
    <t>Inspección semanal de presión; PM completo cada 30,000 km</t>
  </si>
  <si>
    <t>Accidentes atribuibles; PM cumplimiento</t>
  </si>
  <si>
    <t>Aire Acondicionado</t>
  </si>
  <si>
    <t>Compresor de AC</t>
  </si>
  <si>
    <t>No enfría / ruido en compresor</t>
  </si>
  <si>
    <t>Medio — impacto en comodidad del pasajero</t>
  </si>
  <si>
    <t>Gas refrigerante bajo; compresor desgastado</t>
  </si>
  <si>
    <t>Recarga de gas + diagnóstico de compresor</t>
  </si>
  <si>
    <t>Revisión de gas y correas cada PM; filtro de cabina mensual</t>
  </si>
  <si>
    <t>Quejas de pasajeros; disponibilidad por temporada</t>
  </si>
  <si>
    <t>Suspensión</t>
  </si>
  <si>
    <t>Amortiguadores traseros</t>
  </si>
  <si>
    <t>Golpeteo / oscilación excesiva</t>
  </si>
  <si>
    <t>Medio — fatiga de estructura</t>
  </si>
  <si>
    <t>Vida útil excedida; falta de inspección periódica</t>
  </si>
  <si>
    <t>Sustitución por par completo eje trasero</t>
  </si>
  <si>
    <t>Inspección visual en cada PM; sustitución a los 100,000 km</t>
  </si>
  <si>
    <t>MTBF suspensión; costo/km</t>
  </si>
  <si>
    <t>Neumáticos</t>
  </si>
  <si>
    <t>Neumático de alta resistencia</t>
  </si>
  <si>
    <t>Desgaste irregular / reventón</t>
  </si>
  <si>
    <t>Alto — paro en ruta / accidente</t>
  </si>
  <si>
    <t>Presión incorrecta; alineación descalibrada; sobreuso</t>
  </si>
  <si>
    <t>Sustitución + alineación + balanceo completo</t>
  </si>
  <si>
    <t>Control de presión semanal; rotación cada 20,000 km</t>
  </si>
  <si>
    <t>Incidentes en ruta; costo/km neumáticos</t>
  </si>
  <si>
    <t>Combustible</t>
  </si>
  <si>
    <t>Filtro de combustible / inyectores</t>
  </si>
  <si>
    <t>Pérdida de potencia / humo negro</t>
  </si>
  <si>
    <t>Medio — consumo elevado</t>
  </si>
  <si>
    <t>Combustible contaminado; filtros fuera de PM</t>
  </si>
  <si>
    <t>Limpieza de inyectores; cambio de filtros</t>
  </si>
  <si>
    <t>Cambio de filtro cada 15,000 km; análisis de combustible</t>
  </si>
  <si>
    <t>Costo/km combustible; consumo litros/km</t>
  </si>
  <si>
    <t>Bomba de dirección hidráulica</t>
  </si>
  <si>
    <t>Dureza en dirección / fuga de aceite</t>
  </si>
  <si>
    <t>Sello deficiente; nivel de aceite bajo; desgaste de bomba</t>
  </si>
  <si>
    <t>Sustitución de bomba + cambio de mangueras</t>
  </si>
  <si>
    <t>Revisión de nivel mensual; PM de dirección cada 60,000 km</t>
  </si>
  <si>
    <t>Accidentes atribuibles; disponibilidad</t>
  </si>
  <si>
    <t>MATRIZ DE RIESGOS Y PLAN DE MITIGACIÓN</t>
  </si>
  <si>
    <t>Nivel de Riesgo</t>
  </si>
  <si>
    <t>Plan de Mitigación</t>
  </si>
  <si>
    <t>Fecha Objetivo</t>
  </si>
  <si>
    <t>Presentar modelo al DG en semana 1 para obtener endorsement. Reuniones individuales con cada gerente regional en semana 2.</t>
  </si>
  <si>
    <t>Pendiente</t>
  </si>
  <si>
    <t>Datos de flota fragmentados — no se puede consolidar información</t>
  </si>
  <si>
    <t>Solicitar autorización formal al DG para acceso a sistemas de todas las regiones. Asignar coordinador de datos dedicado.</t>
  </si>
  <si>
    <t>Alejandro + TI</t>
  </si>
  <si>
    <t>Quiebre de stock de refacciones críticas Clase A (motor/transmisión)</t>
  </si>
  <si>
    <t>Auditar stock actual en primeras 2 semanas. Negociar orden de emergencia con Cummins y Allison para los siguientes 90 días.</t>
  </si>
  <si>
    <t>Compras + Jefes Taller</t>
  </si>
  <si>
    <t>Paro masivo de flota en CDMX por backlog acumulado (58 órdenes)</t>
  </si>
  <si>
    <t>Intervención inmediata: asignar técnicos de refuerzo desde talleres con menor carga. Revisión semanal de backlog CDMX.</t>
  </si>
  <si>
    <t>Sup. CDMX + Coord.</t>
  </si>
  <si>
    <t>Falta de ERP/CMMS integrado — decisiones sin datos confiables</t>
  </si>
  <si>
    <t>En Fase 3 diseñar RFP para CMMS. Mientras tanto, implementar Excel corporativo como solución provisional.</t>
  </si>
  <si>
    <t>Canibalización descontrolada — 12 unidades sin plan de recuperación</t>
  </si>
  <si>
    <t>Levantar inventario de unidades canibalizadas en semana 2. Diseñar plan de recuperación con fecha compromiso por unidad.</t>
  </si>
  <si>
    <t>Alta rotación de técnicos — pérdida de conocimiento operativo</t>
  </si>
  <si>
    <t>Diagnóstico de clima laboral en semana 3. Proponer esquema de retención con RH antes del día 45.</t>
  </si>
  <si>
    <t>Riesgo legal por accidentes atribuibles a fallas de mantenimiento</t>
  </si>
  <si>
    <t>Revisar expedientes de los últimos 24 meses. Documentar protocolo de mantenimiento de seguridad. Asesoría legal.</t>
  </si>
  <si>
    <t>Legal + Dir. Mtto</t>
  </si>
  <si>
    <t>Proveedor único para componentes críticos — sin alternativa</t>
  </si>
  <si>
    <t>Identificar proveedores alternativos para los top 5 componentes A en las primeras 4 semanas.</t>
  </si>
  <si>
    <t>Compras</t>
  </si>
  <si>
    <t>Presupuesto insuficiente para ejecutar el plan de transformación</t>
  </si>
  <si>
    <t>🟢 Moderado</t>
  </si>
  <si>
    <t>Presentar caso de negocio con ROI al DG en día 90 para asegurar presupuesto 2027.</t>
  </si>
  <si>
    <t>Alejandro + CFO</t>
  </si>
  <si>
    <t>PLAN DE AVANCES MENSUALES — SEGUIMIENTO EJECUTIVO</t>
  </si>
  <si>
    <t>Mes</t>
  </si>
  <si>
    <t>Logros Principales</t>
  </si>
  <si>
    <t>KPIs Mejorados</t>
  </si>
  <si>
    <t>Problemas Detectados</t>
  </si>
  <si>
    <t>Decisiones Requeridas</t>
  </si>
  <si>
    <t>Próximas Acciones</t>
  </si>
  <si>
    <t>Mes 1
(Días 1–30)</t>
  </si>
  <si>
    <t>✅ Entrevistas con 6 directores completadas
✅ Visita a 5 talleres principales
✅ Baseline corporativo de KPIs establecido
✅ Quick Win identificado: garantías no reclamadas $2.1M
✅ Diagnóstico ejecutivo presentado al DG</t>
  </si>
  <si>
    <t>📊 Disponibilidad: medida por primera vez a nivel corporativo (88.2%)
📊 Backlog documentado: 199 órdenes
📊 Canibalización medida: 8.2% de flota</t>
  </si>
  <si>
    <t>⚠️ CDMX con backlog crítico de 58 órdenes
⚠️ Resistencia de Gerente Regional Bajío al modelo corporativo
⚠️ Datos de talleres en 4 sistemas distintos — imposible consolidar sin TI</t>
  </si>
  <si>
    <t>🔑 Endorsement del DG para modelo corporativo ante regiones
🔑 Autorización para acceso a sistemas de todas las regiones
🔑 Aprobación de refuerzo técnico urgente para CDMX</t>
  </si>
  <si>
    <t>▶ Lanzar Fase 2: KPIs corporativos y modelo organizacional
▶ Ejecutar Quick Win de garantías con área de Compras
▶ Iniciar intervención en taller CDMX</t>
  </si>
  <si>
    <t>Mes 2
(Días 31–60)</t>
  </si>
  <si>
    <t>✅ KPIs corporativos definidos y comunicados a regiones
✅ Modelo organizacional de mantenimiento diseñado
✅ Proceso de PM estandarizado (versión 1.0)
✅ Política de refacciones A/B/C publicada
✅ Quick Win ejecutado: $480K recuperados en garantías</t>
  </si>
  <si>
    <t>📊 Disponibilidad: 89.1% (+0.9pp vs. mes 1)
📊 Cumplimiento PM: 76% (+5pp)
📊 Backlog: 158 órdenes (-41 vs. mes 1)
📊 Garantías reclamadas: 52% (vs. 34% baseline)</t>
  </si>
  <si>
    <t>⚠️ Taller Tampico con fallas recurrentes de motor sin solución
⚠️ Proveedor de transmisiones con desabasto: 3 semanas de espera
⚠️ Sistema Excel provisional saturado — urgente priorizar CMMS</t>
  </si>
  <si>
    <t>🔑 Aprobación de contrato emergencia con proveedor alternativo de transmisiones
🔑 Decisión sobre priorización del CMMS en roadmap TI
🔑 Refuerzo de 2 técnicos adicionales para taller Tampico</t>
  </si>
  <si>
    <t>▶ Iniciar Fase 3: estrategia, tecnología, confiabilidad
▶ Diseñar programa de confiabilidad top 10 componentes
▶ Iniciar evaluación de CMMS y telemetría</t>
  </si>
  <si>
    <t>Mes 3
(Días 61–90)</t>
  </si>
  <si>
    <t>✅ Programa de confiabilidad lanzado (top 10 componentes)
✅ Matriz de competencias técnicas diseñada
✅ Roadmap tecnológico 2026–2028 completado
✅ Presentación ejecutiva Día 90 al DG
✅ Caso de negocio con ROI presentado a CFO</t>
  </si>
  <si>
    <t>📊 Disponibilidad: 90.8% (+2.6pp vs. baseline)
📊 Cumplimiento PM: 82% (+11pp)
📊 Costo/km: $4.61 (-5% vs. baseline)
📊 Unidades detenidas: 10 (-29% vs. baseline)
📊 Backlog: 112 órdenes (-44% vs. baseline)</t>
  </si>
  <si>
    <t>⚠️ Transformación cultural más lenta de lo esperado en 2 talleres
⚠️ Limitación presupuestal para CAPEX de tecnología 2027
⚠️ Escasez nacional de técnicos especializados en Allison</t>
  </si>
  <si>
    <t>🔑 Aprobación del Roadmap 2026–2028 por el DG
🔑 Asignación de presupuesto de transformación para 2027
🔑 Autorización para iniciar proceso de selección de CMMS
🔑 Endorsement para Universidad de Mantenimiento Transpais</t>
  </si>
  <si>
    <t>▶ Lanzar proyectos estratégicos aprobados
▶ Iniciar RFP de CMMS con TI y Compras
▶ Comunicar resultados al equipo de talleres
▶ Definir KPIs 2027 y metas anuales</t>
  </si>
  <si>
    <t>Entregables</t>
  </si>
  <si>
    <t>Medición</t>
  </si>
  <si>
    <t>Gobierno Corporativo</t>
  </si>
  <si>
    <t>Definir quién decide qué</t>
  </si>
  <si>
    <t>Organigrama, Roles (DP), Escalamiento (RACI)</t>
  </si>
  <si>
    <t>Comité mensual</t>
  </si>
  <si>
    <t>Dashboard Ejecutivo</t>
  </si>
  <si>
    <t>Consolidación y automatización de KPIs</t>
  </si>
  <si>
    <t>Definición de KPIs y reporte automatizado</t>
  </si>
  <si>
    <t>Refacciones erstratégicas</t>
  </si>
  <si>
    <t>Clasificación y definición de familias (Segmentos)</t>
  </si>
  <si>
    <t>Claisifación ABC y por familias| Definición de Dias de Inventario cobertura, mín, máx y punto de reorden</t>
  </si>
  <si>
    <t>Estanarización de procesos</t>
  </si>
  <si>
    <t xml:space="preserve">Estandarización de:
a) Preventivo
b) Correctivo. ( flujo de reporte de operador y ot)
c) Garantías
d)Canibalización </t>
  </si>
  <si>
    <t xml:space="preserve">Capacitación, Implementación y auitorías
</t>
  </si>
  <si>
    <t>Confiabilidad</t>
  </si>
  <si>
    <t>Definir top 20 de componentes críticos</t>
  </si>
  <si>
    <t>Definir Top 20 de componentes con fallas críticas y definir un PM para cada uno  km o tiempo</t>
  </si>
  <si>
    <t>MTBF, MTTR, Pareto de fallas</t>
  </si>
  <si>
    <t>Talento (gente)</t>
  </si>
  <si>
    <t>Contar con Matriz de competencias técnicas por Técnico/Taller ( habilidades duras), así como nivel de liderazgo (habilidades blandas)</t>
  </si>
  <si>
    <t>Plan de capacitación anual</t>
  </si>
  <si>
    <t>Avance de plan de capacitación</t>
  </si>
  <si>
    <t>Seguridad Ocupacional (SHE o SISO)</t>
  </si>
  <si>
    <t>Meta de cero accidentes incapacitantes</t>
  </si>
  <si>
    <t>Analizar estadísitica, definir metas y coordindar con el área plan para talleres</t>
  </si>
  <si>
    <t>Digitalización</t>
  </si>
  <si>
    <t>Lograr Monitoreo de KPis en tiempo real y automatizados</t>
  </si>
  <si>
    <t>Mapeo de sistemas y factibilidad y plan de implementación</t>
  </si>
  <si>
    <t>Datos relevantes para el equipo</t>
  </si>
  <si>
    <t>NO me gustan las sorpresas, de los temas relevantes me tengo que enterar por ustedes y antes de que la noticia llegue por otro lado</t>
  </si>
  <si>
    <t>Comunicación abierta y directa</t>
  </si>
  <si>
    <t>Se vale equivocarse pero reconocerlo, no se vale ocultarlo</t>
  </si>
  <si>
    <t>La exigencia es alta, pero en la misma intensidad el apoyo de mi parte</t>
  </si>
  <si>
    <t>La innovación y capacidad de análisis debe ser un distintivo de este equipo</t>
  </si>
  <si>
    <t>Necesidades de capex</t>
  </si>
  <si>
    <t>Mapeo de necesidades de inversión</t>
  </si>
  <si>
    <t>Alejandro J.</t>
  </si>
  <si>
    <t>Coord. Información</t>
  </si>
  <si>
    <t>Coord. Capacitación</t>
  </si>
  <si>
    <t>En proceso</t>
  </si>
  <si>
    <t>Completado</t>
  </si>
  <si>
    <t>Diagnóstico + Quick Wins + Roadmap 2026–2030</t>
  </si>
  <si>
    <t>Tiempo de rescate (min)</t>
  </si>
  <si>
    <t>% Llantas entre 0-3 mm</t>
  </si>
  <si>
    <t>Bajas del mes / HC</t>
  </si>
  <si>
    <t>Dias de ausentismo vs dias híabiles del HC</t>
  </si>
  <si>
    <t>Elaborar un dashboard para ver el ánorama de cada rango, 0-3, 3-4,4-8,&gt;8 mm</t>
  </si>
  <si>
    <t xml:space="preserve">Cantidad de Días de DL </t>
  </si>
  <si>
    <t>Cantidad de Accidentes Incapacitantes</t>
  </si>
  <si>
    <t>Evaluar cáñculo de Accidentes /HC</t>
  </si>
  <si>
    <t>Cantidad de ddías perdidos por incapacidad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</si>
</sst>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yyyy\-mm\-dd"/>
    <numFmt numFmtId="165" formatCode="0.0%"/>
    <numFmt numFmtId="166" formatCode="0.0"/>
    <numFmt numFmtId="167" formatCode="#,##0.0"/>
    <numFmt numFmtId="168" formatCode="&quot;$&quot;#,##0.00,,\ &quot;M&quot;"/>
    <numFmt numFmtId="169" formatCode="_-&quot;$&quot;* #,##0_-;\-&quot;$&quot;* #,##0_-;_-&quot;$&quot;* &quot;-&quot;??_-;_-@_-"/>
  </numFmts>
  <fonts count="5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334155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E5FA8"/>
      <name val="Calibri"/>
      <family val="2"/>
    </font>
    <font>
      <sz val="10"/>
      <name val="Calibri"/>
      <family val="2"/>
    </font>
    <font>
      <sz val="10"/>
      <color rgb="FF334155"/>
      <name val="Calibri"/>
      <family val="2"/>
    </font>
    <font>
      <b/>
      <sz val="10"/>
      <name val="Calibri"/>
      <family val="2"/>
    </font>
    <font>
      <b/>
      <sz val="12"/>
      <color rgb="FF1B2B5E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Wingdings 3"/>
      <family val="1"/>
      <charset val="2"/>
    </font>
    <font>
      <sz val="10"/>
      <color theme="1"/>
      <name val="Calibri"/>
      <family val="2"/>
      <scheme val="minor"/>
    </font>
    <font>
      <sz val="9"/>
      <color rgb="FFFFFFFF"/>
      <name val="Abadi"/>
      <family val="2"/>
    </font>
    <font>
      <b/>
      <sz val="10.5"/>
      <color rgb="FF000000"/>
      <name val="Abadi"/>
      <family val="2"/>
    </font>
    <font>
      <sz val="10.5"/>
      <color rgb="FF000000"/>
      <name val="Abadi"/>
      <family val="2"/>
    </font>
    <font>
      <b/>
      <sz val="10.5"/>
      <color rgb="FF548235"/>
      <name val="Abadi"/>
      <family val="2"/>
    </font>
    <font>
      <b/>
      <sz val="11"/>
      <color rgb="FF000000"/>
      <name val="Abadi"/>
      <family val="2"/>
    </font>
    <font>
      <sz val="10.5"/>
      <color rgb="FF548235"/>
      <name val="Abadi"/>
      <family val="2"/>
    </font>
    <font>
      <b/>
      <sz val="10.5"/>
      <color rgb="FFFF0000"/>
      <name val="Abadi"/>
      <family val="2"/>
    </font>
    <font>
      <b/>
      <sz val="10.5"/>
      <color rgb="FFFFFFFF"/>
      <name val="Abadi"/>
      <family val="2"/>
    </font>
    <font>
      <sz val="10.5"/>
      <color rgb="FFFFFFFF"/>
      <name val="Abadi"/>
      <family val="2"/>
    </font>
    <font>
      <b/>
      <sz val="11"/>
      <color rgb="FFFFFFFF"/>
      <name val="Abad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i/>
      <sz val="11"/>
      <name val="Calibri"/>
      <family val="2"/>
    </font>
    <font>
      <i/>
      <sz val="11"/>
      <color theme="1"/>
      <name val="Calibri"/>
      <family val="2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sz val="10"/>
      <color theme="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334155"/>
      <name val="Calibri"/>
      <family val="2"/>
      <scheme val="minor"/>
    </font>
    <font>
      <sz val="10"/>
      <color rgb="FF334155"/>
      <name val="Calibri"/>
      <family val="2"/>
      <scheme val="minor"/>
    </font>
    <font>
      <i/>
      <sz val="10"/>
      <color rgb="FF334155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b/>
      <sz val="10"/>
      <color rgb="FFC1023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1D1D1D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sz val="12"/>
      <name val="Calibri"/>
      <family val="2"/>
      <scheme val="minor"/>
    </font>
    <font>
      <sz val="8"/>
      <color rgb="FFC0023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C10230"/>
      <name val="Calibri"/>
      <family val="2"/>
      <scheme val="minor"/>
    </font>
    <font>
      <sz val="8"/>
      <color rgb="FFFFC000"/>
      <name val="Calibri"/>
      <family val="2"/>
      <scheme val="minor"/>
    </font>
    <font>
      <sz val="8"/>
      <name val="Calibri"/>
      <family val="2"/>
    </font>
    <font>
      <sz val="10"/>
      <name val="Calibri"/>
      <family val="2"/>
      <scheme val="minor"/>
    </font>
    <font>
      <b/>
      <sz val="10"/>
      <color theme="6" tint="-0.499984740745262"/>
      <name val="Calibri"/>
      <family val="2"/>
    </font>
    <font>
      <sz val="10"/>
      <color theme="1"/>
      <name val="Calibri"/>
      <family val="2"/>
      <charset val="1"/>
    </font>
  </fonts>
  <fills count="44">
    <fill>
      <patternFill patternType="none"/>
    </fill>
    <fill>
      <patternFill patternType="gray125"/>
    </fill>
    <fill>
      <patternFill patternType="solid">
        <fgColor rgb="FF1B2B5E"/>
        <bgColor rgb="FF334155"/>
      </patternFill>
    </fill>
    <fill>
      <patternFill patternType="solid">
        <fgColor rgb="FFD6DFF0"/>
        <bgColor rgb="FFDDDDDD"/>
      </patternFill>
    </fill>
    <fill>
      <patternFill patternType="solid">
        <fgColor rgb="FF1E5FA8"/>
        <bgColor rgb="FF3366FF"/>
      </patternFill>
    </fill>
    <fill>
      <patternFill patternType="solid">
        <fgColor rgb="FF334155"/>
        <bgColor rgb="FF1B2B5E"/>
      </patternFill>
    </fill>
    <fill>
      <patternFill patternType="solid">
        <fgColor rgb="FFF2F5FB"/>
        <bgColor rgb="FFE8F0FE"/>
      </patternFill>
    </fill>
    <fill>
      <patternFill patternType="solid">
        <fgColor rgb="FFC0392B"/>
        <bgColor rgb="FF993366"/>
      </patternFill>
    </fill>
    <fill>
      <patternFill patternType="solid">
        <fgColor rgb="FFFFFFFF"/>
        <bgColor rgb="FFF2F5FB"/>
      </patternFill>
    </fill>
    <fill>
      <patternFill patternType="solid">
        <fgColor rgb="FFE8A020"/>
        <bgColor rgb="FFFFCC00"/>
      </patternFill>
    </fill>
    <fill>
      <patternFill patternType="solid">
        <fgColor rgb="FFE8F0FE"/>
        <bgColor rgb="FFEEEEEE"/>
      </patternFill>
    </fill>
    <fill>
      <patternFill patternType="solid">
        <fgColor rgb="FFE8F5E9"/>
        <bgColor rgb="FFEEEEEE"/>
      </patternFill>
    </fill>
    <fill>
      <patternFill patternType="solid">
        <fgColor rgb="FFFFF3E0"/>
        <bgColor rgb="FFFFF8E1"/>
      </patternFill>
    </fill>
    <fill>
      <patternFill patternType="solid">
        <fgColor rgb="FF1A7A4A"/>
        <bgColor rgb="FF008080"/>
      </patternFill>
    </fill>
    <fill>
      <patternFill patternType="solid">
        <fgColor rgb="FFFFCDD2"/>
        <bgColor rgb="FFDDDDDD"/>
      </patternFill>
    </fill>
    <fill>
      <patternFill patternType="solid">
        <fgColor rgb="FFFFF9C4"/>
        <bgColor rgb="FFFFF8E1"/>
      </patternFill>
    </fill>
    <fill>
      <patternFill patternType="solid">
        <fgColor rgb="FFC8E6C9"/>
        <bgColor rgb="FFDDDDDD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51400"/>
        <bgColor indexed="64"/>
      </patternFill>
    </fill>
    <fill>
      <patternFill patternType="solid">
        <fgColor rgb="FFE3C800"/>
        <bgColor indexed="64"/>
      </patternFill>
    </fill>
    <fill>
      <patternFill patternType="solid">
        <fgColor rgb="FF60A9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22B3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3A383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33F4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2F5F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5FB"/>
        <bgColor rgb="FFF2F5FB"/>
      </patternFill>
    </fill>
  </fills>
  <borders count="40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 style="thin">
        <color rgb="FFDDDDDD"/>
      </right>
      <top/>
      <bottom style="thin">
        <color rgb="FFAAAAAA"/>
      </bottom>
      <diagonal/>
    </border>
    <border>
      <left/>
      <right style="hair">
        <color rgb="FFEEEEEE"/>
      </right>
      <top/>
      <bottom style="hair">
        <color rgb="FFDDDDDD"/>
      </bottom>
      <diagonal/>
    </border>
    <border>
      <left/>
      <right style="hair">
        <color rgb="FFDDDDDD"/>
      </right>
      <top/>
      <bottom style="medium">
        <color rgb="FFAAAAAA"/>
      </bottom>
      <diagonal/>
    </border>
    <border>
      <left/>
      <right/>
      <top/>
      <bottom style="double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theme="6" tint="-0.499984740745262"/>
      </left>
      <right style="medium">
        <color theme="6" tint="-0.499984740745262"/>
      </right>
      <top style="medium">
        <color theme="6" tint="-0.499984740745262"/>
      </top>
      <bottom/>
      <diagonal/>
    </border>
    <border>
      <left style="medium">
        <color theme="6" tint="-0.499984740745262"/>
      </left>
      <right style="medium">
        <color theme="6" tint="-0.499984740745262"/>
      </right>
      <top/>
      <bottom style="medium">
        <color theme="6" tint="-0.499984740745262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 style="medium">
        <color theme="3"/>
      </right>
      <top/>
      <bottom style="medium">
        <color theme="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 tint="-0.14996795556505021"/>
      </left>
      <right style="hair">
        <color theme="0" tint="-0.14993743705557422"/>
      </right>
      <top style="thin">
        <color theme="0" tint="-0.14996795556505021"/>
      </top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 style="thin">
        <color theme="0" tint="-0.14996795556505021"/>
      </top>
      <bottom style="hair">
        <color theme="0" tint="-0.14993743705557422"/>
      </bottom>
      <diagonal/>
    </border>
    <border>
      <left style="hair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hair">
        <color theme="0" tint="-0.14993743705557422"/>
      </bottom>
      <diagonal/>
    </border>
    <border>
      <left style="thin">
        <color theme="0" tint="-0.14996795556505021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thin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thin">
        <color theme="0" tint="-0.14996795556505021"/>
      </left>
      <right style="hair">
        <color theme="0" tint="-0.14993743705557422"/>
      </right>
      <top style="hair">
        <color theme="0" tint="-0.14993743705557422"/>
      </top>
      <bottom style="thick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thick">
        <color theme="0" tint="-0.14993743705557422"/>
      </bottom>
      <diagonal/>
    </border>
    <border>
      <left style="hair">
        <color theme="0" tint="-0.14993743705557422"/>
      </left>
      <right style="thin">
        <color theme="0" tint="-0.14993743705557422"/>
      </right>
      <top style="hair">
        <color theme="0" tint="-0.14993743705557422"/>
      </top>
      <bottom style="thick">
        <color theme="0" tint="-0.14993743705557422"/>
      </bottom>
      <diagonal/>
    </border>
    <border>
      <left style="thin">
        <color theme="0" tint="-0.14996795556505021"/>
      </left>
      <right style="hair">
        <color theme="0" tint="-0.14993743705557422"/>
      </right>
      <top style="thick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 style="thick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thin">
        <color theme="0" tint="-0.14993743705557422"/>
      </right>
      <top style="thick">
        <color theme="0" tint="-0.14993743705557422"/>
      </top>
      <bottom style="hair">
        <color theme="0" tint="-0.14993743705557422"/>
      </bottom>
      <diagonal/>
    </border>
    <border>
      <left style="thin">
        <color theme="0" tint="-0.14996795556505021"/>
      </left>
      <right style="hair">
        <color theme="0" tint="-0.14993743705557422"/>
      </right>
      <top style="thick">
        <color theme="0" tint="-0.14993743705557422"/>
      </top>
      <bottom/>
      <diagonal/>
    </border>
    <border>
      <left style="thin">
        <color theme="0" tint="-0.14996795556505021"/>
      </left>
      <right style="hair">
        <color theme="0" tint="-0.14993743705557422"/>
      </right>
      <top/>
      <bottom/>
      <diagonal/>
    </border>
    <border>
      <left style="thin">
        <color theme="0" tint="-0.14996795556505021"/>
      </left>
      <right style="hair">
        <color theme="0" tint="-0.14993743705557422"/>
      </right>
      <top/>
      <bottom style="thick">
        <color theme="0" tint="-0.14993743705557422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 style="dotted">
        <color theme="0"/>
      </left>
      <right style="dotted">
        <color theme="0"/>
      </right>
      <top/>
      <bottom style="dotted">
        <color theme="0"/>
      </bottom>
      <diagonal/>
    </border>
    <border>
      <left/>
      <right style="thin">
        <color rgb="FFDDDDDD"/>
      </right>
      <top/>
      <bottom/>
      <diagonal/>
    </border>
    <border>
      <left/>
      <right/>
      <top/>
      <bottom style="hair">
        <color rgb="FFDDDDDD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</borders>
  <cellStyleXfs count="5">
    <xf numFmtId="0" fontId="0" fillId="0" borderId="0"/>
    <xf numFmtId="9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339">
    <xf numFmtId="0" fontId="0" fillId="0" borderId="0" xfId="0"/>
    <xf numFmtId="0" fontId="5" fillId="5" borderId="2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left" vertical="center" wrapText="1"/>
    </xf>
    <xf numFmtId="0" fontId="7" fillId="10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left" vertical="center" wrapText="1"/>
    </xf>
    <xf numFmtId="164" fontId="7" fillId="10" borderId="3" xfId="0" applyNumberFormat="1" applyFont="1" applyFill="1" applyBorder="1" applyAlignment="1">
      <alignment horizontal="left" vertical="center" wrapText="1"/>
    </xf>
    <xf numFmtId="9" fontId="7" fillId="10" borderId="3" xfId="0" applyNumberFormat="1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left" vertical="center" wrapText="1"/>
    </xf>
    <xf numFmtId="164" fontId="7" fillId="11" borderId="3" xfId="0" applyNumberFormat="1" applyFont="1" applyFill="1" applyBorder="1" applyAlignment="1">
      <alignment horizontal="left" vertical="center" wrapText="1"/>
    </xf>
    <xf numFmtId="9" fontId="7" fillId="11" borderId="3" xfId="0" applyNumberFormat="1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left" vertical="center" wrapText="1"/>
    </xf>
    <xf numFmtId="164" fontId="7" fillId="12" borderId="3" xfId="0" applyNumberFormat="1" applyFont="1" applyFill="1" applyBorder="1" applyAlignment="1">
      <alignment horizontal="left" vertical="center" wrapText="1"/>
    </xf>
    <xf numFmtId="9" fontId="7" fillId="12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7" fillId="14" borderId="3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left" vertical="center" wrapText="1"/>
    </xf>
    <xf numFmtId="0" fontId="9" fillId="15" borderId="3" xfId="0" applyFont="1" applyFill="1" applyBorder="1" applyAlignment="1">
      <alignment horizontal="left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9" fillId="16" borderId="3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164" fontId="7" fillId="6" borderId="3" xfId="0" applyNumberFormat="1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left" vertical="center" wrapText="1"/>
    </xf>
    <xf numFmtId="164" fontId="7" fillId="8" borderId="3" xfId="0" applyNumberFormat="1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left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9" fillId="16" borderId="3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top" wrapText="1"/>
    </xf>
    <xf numFmtId="0" fontId="7" fillId="10" borderId="4" xfId="0" applyFont="1" applyFill="1" applyBorder="1" applyAlignment="1">
      <alignment horizontal="left" vertical="top" wrapText="1"/>
    </xf>
    <xf numFmtId="0" fontId="9" fillId="11" borderId="4" xfId="0" applyFont="1" applyFill="1" applyBorder="1" applyAlignment="1">
      <alignment horizontal="center" vertical="top" wrapText="1"/>
    </xf>
    <xf numFmtId="0" fontId="7" fillId="11" borderId="4" xfId="0" applyFont="1" applyFill="1" applyBorder="1" applyAlignment="1">
      <alignment horizontal="left" vertical="top" wrapText="1"/>
    </xf>
    <xf numFmtId="0" fontId="9" fillId="12" borderId="4" xfId="0" applyFont="1" applyFill="1" applyBorder="1" applyAlignment="1">
      <alignment horizontal="center" vertical="top" wrapText="1"/>
    </xf>
    <xf numFmtId="0" fontId="7" fillId="12" borderId="4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horizontal="left" vertical="top" wrapText="1"/>
    </xf>
    <xf numFmtId="0" fontId="11" fillId="6" borderId="3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8" borderId="3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8" borderId="3" xfId="0" applyFont="1" applyFill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5" xfId="2" applyFont="1" applyBorder="1"/>
    <xf numFmtId="0" fontId="2" fillId="0" borderId="5" xfId="2" applyBorder="1"/>
    <xf numFmtId="0" fontId="2" fillId="0" borderId="0" xfId="2"/>
    <xf numFmtId="0" fontId="0" fillId="0" borderId="0" xfId="0" applyAlignment="1">
      <alignment horizontal="center"/>
    </xf>
    <xf numFmtId="0" fontId="2" fillId="0" borderId="0" xfId="2" applyAlignment="1">
      <alignment horizontal="center"/>
    </xf>
    <xf numFmtId="0" fontId="17" fillId="0" borderId="0" xfId="2" applyFont="1" applyAlignment="1">
      <alignment horizontal="center"/>
    </xf>
    <xf numFmtId="0" fontId="2" fillId="0" borderId="0" xfId="2" applyAlignment="1">
      <alignment vertical="top" wrapText="1"/>
    </xf>
    <xf numFmtId="0" fontId="2" fillId="0" borderId="0" xfId="2" applyAlignment="1">
      <alignment vertical="top"/>
    </xf>
    <xf numFmtId="0" fontId="14" fillId="20" borderId="6" xfId="2" applyFont="1" applyFill="1" applyBorder="1" applyAlignment="1">
      <alignment vertical="top" wrapText="1"/>
    </xf>
    <xf numFmtId="0" fontId="14" fillId="20" borderId="6" xfId="2" applyFont="1" applyFill="1" applyBorder="1" applyAlignment="1">
      <alignment horizontal="center" vertical="top" wrapText="1"/>
    </xf>
    <xf numFmtId="0" fontId="14" fillId="20" borderId="7" xfId="2" applyFont="1" applyFill="1" applyBorder="1" applyAlignment="1">
      <alignment vertical="top" wrapText="1"/>
    </xf>
    <xf numFmtId="0" fontId="14" fillId="20" borderId="8" xfId="2" applyFont="1" applyFill="1" applyBorder="1" applyAlignment="1">
      <alignment vertical="top" wrapText="1"/>
    </xf>
    <xf numFmtId="0" fontId="31" fillId="0" borderId="0" xfId="0" applyFont="1"/>
    <xf numFmtId="0" fontId="29" fillId="0" borderId="0" xfId="0" applyFont="1" applyAlignment="1">
      <alignment vertical="top"/>
    </xf>
    <xf numFmtId="0" fontId="30" fillId="0" borderId="0" xfId="0" applyFont="1" applyAlignment="1">
      <alignment vertical="top"/>
    </xf>
    <xf numFmtId="166" fontId="30" fillId="0" borderId="0" xfId="0" applyNumberFormat="1" applyFont="1" applyAlignment="1">
      <alignment vertical="top"/>
    </xf>
    <xf numFmtId="0" fontId="31" fillId="0" borderId="0" xfId="0" applyFont="1" applyAlignment="1">
      <alignment vertical="top"/>
    </xf>
    <xf numFmtId="0" fontId="0" fillId="0" borderId="0" xfId="0" applyAlignment="1">
      <alignment vertical="top"/>
    </xf>
    <xf numFmtId="0" fontId="32" fillId="0" borderId="0" xfId="0" applyFont="1"/>
    <xf numFmtId="166" fontId="0" fillId="0" borderId="0" xfId="0" applyNumberFormat="1" applyAlignment="1">
      <alignment horizontal="right"/>
    </xf>
    <xf numFmtId="165" fontId="0" fillId="0" borderId="0" xfId="0" applyNumberFormat="1"/>
    <xf numFmtId="165" fontId="0" fillId="0" borderId="0" xfId="1" applyNumberFormat="1" applyFont="1"/>
    <xf numFmtId="166" fontId="30" fillId="34" borderId="0" xfId="0" applyNumberFormat="1" applyFont="1" applyFill="1" applyAlignment="1">
      <alignment vertical="top"/>
    </xf>
    <xf numFmtId="165" fontId="0" fillId="24" borderId="0" xfId="1" applyNumberFormat="1" applyFont="1" applyFill="1"/>
    <xf numFmtId="0" fontId="0" fillId="24" borderId="0" xfId="0" applyFill="1"/>
    <xf numFmtId="0" fontId="33" fillId="0" borderId="0" xfId="0" applyFont="1"/>
    <xf numFmtId="0" fontId="13" fillId="0" borderId="0" xfId="0" applyFont="1"/>
    <xf numFmtId="0" fontId="0" fillId="0" borderId="0" xfId="0" applyAlignment="1">
      <alignment vertical="top" wrapText="1"/>
    </xf>
    <xf numFmtId="0" fontId="34" fillId="35" borderId="9" xfId="0" applyFont="1" applyFill="1" applyBorder="1"/>
    <xf numFmtId="0" fontId="34" fillId="35" borderId="10" xfId="0" applyFont="1" applyFill="1" applyBorder="1"/>
    <xf numFmtId="0" fontId="35" fillId="36" borderId="11" xfId="0" applyFont="1" applyFill="1" applyBorder="1"/>
    <xf numFmtId="0" fontId="35" fillId="36" borderId="12" xfId="0" applyFont="1" applyFill="1" applyBorder="1"/>
    <xf numFmtId="0" fontId="35" fillId="37" borderId="13" xfId="0" applyFont="1" applyFill="1" applyBorder="1"/>
    <xf numFmtId="0" fontId="35" fillId="37" borderId="14" xfId="0" applyFont="1" applyFill="1" applyBorder="1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38" fillId="2" borderId="0" xfId="0" applyFont="1" applyFill="1" applyAlignment="1">
      <alignment horizontal="centerContinuous" vertical="center"/>
    </xf>
    <xf numFmtId="0" fontId="2" fillId="0" borderId="0" xfId="0" applyFont="1"/>
    <xf numFmtId="0" fontId="18" fillId="0" borderId="0" xfId="0" applyFont="1"/>
    <xf numFmtId="0" fontId="39" fillId="39" borderId="16" xfId="0" applyFont="1" applyFill="1" applyBorder="1" applyAlignment="1">
      <alignment horizontal="left" vertical="center" wrapText="1" indent="1"/>
    </xf>
    <xf numFmtId="0" fontId="39" fillId="39" borderId="16" xfId="0" applyFont="1" applyFill="1" applyBorder="1" applyAlignment="1">
      <alignment horizontal="center" vertical="center" wrapText="1"/>
    </xf>
    <xf numFmtId="0" fontId="40" fillId="17" borderId="18" xfId="0" applyFont="1" applyFill="1" applyBorder="1" applyAlignment="1">
      <alignment horizontal="left" vertical="center" wrapText="1" indent="1"/>
    </xf>
    <xf numFmtId="0" fontId="41" fillId="17" borderId="18" xfId="0" applyFont="1" applyFill="1" applyBorder="1" applyAlignment="1">
      <alignment horizontal="center" vertical="center" wrapText="1"/>
    </xf>
    <xf numFmtId="0" fontId="40" fillId="17" borderId="18" xfId="0" applyFont="1" applyFill="1" applyBorder="1" applyAlignment="1">
      <alignment horizontal="center" vertical="center" wrapText="1"/>
    </xf>
    <xf numFmtId="0" fontId="42" fillId="17" borderId="18" xfId="0" applyFont="1" applyFill="1" applyBorder="1" applyAlignment="1">
      <alignment horizontal="center" vertical="center" wrapText="1"/>
    </xf>
    <xf numFmtId="165" fontId="43" fillId="17" borderId="18" xfId="0" applyNumberFormat="1" applyFont="1" applyFill="1" applyBorder="1" applyAlignment="1">
      <alignment horizontal="center" vertical="center" wrapText="1"/>
    </xf>
    <xf numFmtId="0" fontId="41" fillId="18" borderId="18" xfId="0" applyFont="1" applyFill="1" applyBorder="1" applyAlignment="1">
      <alignment horizontal="left" vertical="center" wrapText="1" indent="1"/>
    </xf>
    <xf numFmtId="0" fontId="36" fillId="21" borderId="18" xfId="0" applyFont="1" applyFill="1" applyBorder="1" applyAlignment="1">
      <alignment horizontal="center" vertical="center"/>
    </xf>
    <xf numFmtId="0" fontId="41" fillId="17" borderId="18" xfId="0" applyFont="1" applyFill="1" applyBorder="1" applyAlignment="1">
      <alignment horizontal="left" vertical="center" wrapText="1" indent="1"/>
    </xf>
    <xf numFmtId="0" fontId="18" fillId="22" borderId="18" xfId="0" applyFont="1" applyFill="1" applyBorder="1" applyAlignment="1">
      <alignment horizontal="center" vertical="center"/>
    </xf>
    <xf numFmtId="165" fontId="41" fillId="17" borderId="18" xfId="0" applyNumberFormat="1" applyFont="1" applyFill="1" applyBorder="1" applyAlignment="1">
      <alignment horizontal="center" vertical="center" wrapText="1"/>
    </xf>
    <xf numFmtId="165" fontId="40" fillId="17" borderId="18" xfId="0" applyNumberFormat="1" applyFont="1" applyFill="1" applyBorder="1" applyAlignment="1">
      <alignment horizontal="center" vertical="center" wrapText="1"/>
    </xf>
    <xf numFmtId="9" fontId="42" fillId="17" borderId="18" xfId="0" applyNumberFormat="1" applyFont="1" applyFill="1" applyBorder="1" applyAlignment="1">
      <alignment horizontal="center" vertical="center" wrapText="1"/>
    </xf>
    <xf numFmtId="165" fontId="44" fillId="17" borderId="18" xfId="0" applyNumberFormat="1" applyFont="1" applyFill="1" applyBorder="1" applyAlignment="1">
      <alignment horizontal="center" vertical="center" wrapText="1"/>
    </xf>
    <xf numFmtId="3" fontId="41" fillId="17" borderId="18" xfId="0" applyNumberFormat="1" applyFont="1" applyFill="1" applyBorder="1" applyAlignment="1">
      <alignment horizontal="center" vertical="center" wrapText="1"/>
    </xf>
    <xf numFmtId="3" fontId="40" fillId="17" borderId="18" xfId="0" applyNumberFormat="1" applyFont="1" applyFill="1" applyBorder="1" applyAlignment="1">
      <alignment horizontal="center" vertical="center" wrapText="1"/>
    </xf>
    <xf numFmtId="165" fontId="41" fillId="18" borderId="18" xfId="0" applyNumberFormat="1" applyFont="1" applyFill="1" applyBorder="1" applyAlignment="1">
      <alignment horizontal="center" vertical="center" wrapText="1"/>
    </xf>
    <xf numFmtId="165" fontId="40" fillId="18" borderId="18" xfId="0" applyNumberFormat="1" applyFont="1" applyFill="1" applyBorder="1" applyAlignment="1">
      <alignment horizontal="center" vertical="center" wrapText="1"/>
    </xf>
    <xf numFmtId="0" fontId="36" fillId="23" borderId="18" xfId="0" applyFont="1" applyFill="1" applyBorder="1" applyAlignment="1">
      <alignment horizontal="center" vertical="center"/>
    </xf>
    <xf numFmtId="165" fontId="41" fillId="17" borderId="18" xfId="1" applyNumberFormat="1" applyFont="1" applyFill="1" applyBorder="1" applyAlignment="1">
      <alignment horizontal="center" vertical="center" wrapText="1"/>
    </xf>
    <xf numFmtId="165" fontId="42" fillId="18" borderId="18" xfId="0" quotePrefix="1" applyNumberFormat="1" applyFont="1" applyFill="1" applyBorder="1" applyAlignment="1">
      <alignment horizontal="center" vertical="center" wrapText="1"/>
    </xf>
    <xf numFmtId="165" fontId="42" fillId="17" borderId="18" xfId="0" applyNumberFormat="1" applyFont="1" applyFill="1" applyBorder="1" applyAlignment="1">
      <alignment horizontal="center" vertical="center" wrapText="1"/>
    </xf>
    <xf numFmtId="10" fontId="42" fillId="17" borderId="18" xfId="0" quotePrefix="1" applyNumberFormat="1" applyFont="1" applyFill="1" applyBorder="1" applyAlignment="1">
      <alignment horizontal="center" vertical="center" wrapText="1"/>
    </xf>
    <xf numFmtId="165" fontId="46" fillId="17" borderId="18" xfId="0" applyNumberFormat="1" applyFont="1" applyFill="1" applyBorder="1" applyAlignment="1">
      <alignment horizontal="center" vertical="center" wrapText="1"/>
    </xf>
    <xf numFmtId="0" fontId="47" fillId="0" borderId="18" xfId="0" applyFont="1" applyBorder="1"/>
    <xf numFmtId="0" fontId="40" fillId="0" borderId="18" xfId="0" applyFont="1" applyBorder="1" applyAlignment="1">
      <alignment horizontal="left" vertical="center" wrapText="1" indent="1"/>
    </xf>
    <xf numFmtId="0" fontId="41" fillId="0" borderId="18" xfId="0" applyFont="1" applyBorder="1" applyAlignment="1">
      <alignment horizontal="left" vertical="center" wrapText="1" indent="1"/>
    </xf>
    <xf numFmtId="3" fontId="41" fillId="0" borderId="18" xfId="0" applyNumberFormat="1" applyFont="1" applyBorder="1" applyAlignment="1">
      <alignment horizontal="center" vertical="center" wrapText="1"/>
    </xf>
    <xf numFmtId="3" fontId="40" fillId="0" borderId="18" xfId="0" applyNumberFormat="1" applyFont="1" applyBorder="1" applyAlignment="1">
      <alignment horizontal="center" vertical="center" wrapText="1"/>
    </xf>
    <xf numFmtId="165" fontId="44" fillId="0" borderId="18" xfId="0" applyNumberFormat="1" applyFont="1" applyBorder="1" applyAlignment="1">
      <alignment horizontal="center" vertical="center" wrapText="1"/>
    </xf>
    <xf numFmtId="0" fontId="41" fillId="40" borderId="18" xfId="0" applyFont="1" applyFill="1" applyBorder="1" applyAlignment="1">
      <alignment horizontal="left" vertical="center" wrapText="1" indent="1"/>
    </xf>
    <xf numFmtId="0" fontId="41" fillId="40" borderId="18" xfId="0" applyFont="1" applyFill="1" applyBorder="1" applyAlignment="1">
      <alignment horizontal="center" vertical="center" wrapText="1"/>
    </xf>
    <xf numFmtId="2" fontId="41" fillId="40" borderId="18" xfId="0" applyNumberFormat="1" applyFont="1" applyFill="1" applyBorder="1" applyAlignment="1">
      <alignment horizontal="center" vertical="center" wrapText="1"/>
    </xf>
    <xf numFmtId="0" fontId="40" fillId="40" borderId="18" xfId="0" applyFont="1" applyFill="1" applyBorder="1" applyAlignment="1">
      <alignment horizontal="center" vertical="center" wrapText="1"/>
    </xf>
    <xf numFmtId="0" fontId="42" fillId="40" borderId="18" xfId="0" applyFont="1" applyFill="1" applyBorder="1" applyAlignment="1">
      <alignment horizontal="center" vertical="center" wrapText="1"/>
    </xf>
    <xf numFmtId="165" fontId="44" fillId="40" borderId="18" xfId="0" applyNumberFormat="1" applyFont="1" applyFill="1" applyBorder="1" applyAlignment="1">
      <alignment horizontal="center" vertical="center" wrapText="1"/>
    </xf>
    <xf numFmtId="166" fontId="41" fillId="40" borderId="18" xfId="0" applyNumberFormat="1" applyFont="1" applyFill="1" applyBorder="1" applyAlignment="1">
      <alignment horizontal="center" vertical="center" wrapText="1"/>
    </xf>
    <xf numFmtId="165" fontId="41" fillId="40" borderId="18" xfId="0" applyNumberFormat="1" applyFont="1" applyFill="1" applyBorder="1" applyAlignment="1">
      <alignment horizontal="center" vertical="center" wrapText="1"/>
    </xf>
    <xf numFmtId="165" fontId="40" fillId="40" borderId="18" xfId="0" applyNumberFormat="1" applyFont="1" applyFill="1" applyBorder="1" applyAlignment="1">
      <alignment horizontal="center" vertical="center" wrapText="1"/>
    </xf>
    <xf numFmtId="9" fontId="42" fillId="40" borderId="18" xfId="0" applyNumberFormat="1" applyFont="1" applyFill="1" applyBorder="1" applyAlignment="1">
      <alignment horizontal="center" vertical="center" wrapText="1"/>
    </xf>
    <xf numFmtId="165" fontId="41" fillId="40" borderId="18" xfId="1" applyNumberFormat="1" applyFont="1" applyFill="1" applyBorder="1" applyAlignment="1">
      <alignment horizontal="center" vertical="center" wrapText="1"/>
    </xf>
    <xf numFmtId="165" fontId="42" fillId="40" borderId="18" xfId="0" quotePrefix="1" applyNumberFormat="1" applyFont="1" applyFill="1" applyBorder="1" applyAlignment="1">
      <alignment horizontal="center" vertical="center" wrapText="1"/>
    </xf>
    <xf numFmtId="165" fontId="45" fillId="40" borderId="18" xfId="0" applyNumberFormat="1" applyFont="1" applyFill="1" applyBorder="1" applyAlignment="1">
      <alignment horizontal="center" vertical="center" wrapText="1"/>
    </xf>
    <xf numFmtId="0" fontId="40" fillId="40" borderId="18" xfId="0" applyFont="1" applyFill="1" applyBorder="1" applyAlignment="1">
      <alignment horizontal="left" vertical="center" wrapText="1" indent="1"/>
    </xf>
    <xf numFmtId="3" fontId="41" fillId="40" borderId="18" xfId="0" applyNumberFormat="1" applyFont="1" applyFill="1" applyBorder="1" applyAlignment="1">
      <alignment horizontal="center" vertical="center" wrapText="1"/>
    </xf>
    <xf numFmtId="3" fontId="40" fillId="40" borderId="18" xfId="0" applyNumberFormat="1" applyFont="1" applyFill="1" applyBorder="1" applyAlignment="1">
      <alignment horizontal="center" vertical="center" wrapText="1"/>
    </xf>
    <xf numFmtId="0" fontId="36" fillId="41" borderId="18" xfId="0" applyFont="1" applyFill="1" applyBorder="1" applyAlignment="1">
      <alignment horizontal="center" vertical="center"/>
    </xf>
    <xf numFmtId="0" fontId="18" fillId="41" borderId="18" xfId="0" applyFont="1" applyFill="1" applyBorder="1" applyAlignment="1">
      <alignment horizontal="center" vertical="center"/>
    </xf>
    <xf numFmtId="10" fontId="42" fillId="40" borderId="18" xfId="0" quotePrefix="1" applyNumberFormat="1" applyFont="1" applyFill="1" applyBorder="1" applyAlignment="1">
      <alignment horizontal="center" vertical="center" wrapText="1"/>
    </xf>
    <xf numFmtId="0" fontId="39" fillId="39" borderId="0" xfId="0" applyFont="1" applyFill="1" applyAlignment="1">
      <alignment horizontal="left" vertical="center" wrapText="1" indent="1"/>
    </xf>
    <xf numFmtId="0" fontId="39" fillId="39" borderId="0" xfId="0" applyFont="1" applyFill="1" applyAlignment="1">
      <alignment horizontal="center" vertical="center" wrapText="1"/>
    </xf>
    <xf numFmtId="0" fontId="40" fillId="17" borderId="19" xfId="0" applyFont="1" applyFill="1" applyBorder="1" applyAlignment="1">
      <alignment horizontal="left" vertical="center" wrapText="1" indent="1"/>
    </xf>
    <xf numFmtId="0" fontId="41" fillId="17" borderId="19" xfId="0" applyFont="1" applyFill="1" applyBorder="1" applyAlignment="1">
      <alignment horizontal="center" vertical="center" wrapText="1"/>
    </xf>
    <xf numFmtId="0" fontId="40" fillId="17" borderId="19" xfId="0" applyFont="1" applyFill="1" applyBorder="1" applyAlignment="1">
      <alignment horizontal="center" vertical="center" wrapText="1"/>
    </xf>
    <xf numFmtId="0" fontId="42" fillId="17" borderId="19" xfId="0" applyFont="1" applyFill="1" applyBorder="1" applyAlignment="1">
      <alignment horizontal="center" vertical="center" wrapText="1"/>
    </xf>
    <xf numFmtId="165" fontId="46" fillId="17" borderId="19" xfId="0" applyNumberFormat="1" applyFont="1" applyFill="1" applyBorder="1" applyAlignment="1">
      <alignment horizontal="center" vertical="center" wrapText="1"/>
    </xf>
    <xf numFmtId="0" fontId="40" fillId="40" borderId="19" xfId="0" applyFont="1" applyFill="1" applyBorder="1" applyAlignment="1">
      <alignment horizontal="left" vertical="center" wrapText="1" indent="1"/>
    </xf>
    <xf numFmtId="2" fontId="41" fillId="40" borderId="19" xfId="0" applyNumberFormat="1" applyFont="1" applyFill="1" applyBorder="1" applyAlignment="1">
      <alignment horizontal="center" vertical="center" wrapText="1"/>
    </xf>
    <xf numFmtId="0" fontId="41" fillId="40" borderId="19" xfId="0" applyFont="1" applyFill="1" applyBorder="1" applyAlignment="1">
      <alignment horizontal="center" vertical="center" wrapText="1"/>
    </xf>
    <xf numFmtId="0" fontId="40" fillId="40" borderId="19" xfId="0" applyFont="1" applyFill="1" applyBorder="1" applyAlignment="1">
      <alignment horizontal="center" vertical="center" wrapText="1"/>
    </xf>
    <xf numFmtId="0" fontId="42" fillId="40" borderId="19" xfId="0" applyFont="1" applyFill="1" applyBorder="1" applyAlignment="1">
      <alignment horizontal="center" vertical="center" wrapText="1"/>
    </xf>
    <xf numFmtId="165" fontId="43" fillId="40" borderId="19" xfId="0" applyNumberFormat="1" applyFont="1" applyFill="1" applyBorder="1" applyAlignment="1">
      <alignment horizontal="center" vertical="center" wrapText="1"/>
    </xf>
    <xf numFmtId="165" fontId="41" fillId="17" borderId="19" xfId="0" applyNumberFormat="1" applyFont="1" applyFill="1" applyBorder="1" applyAlignment="1">
      <alignment horizontal="center" vertical="center" wrapText="1"/>
    </xf>
    <xf numFmtId="165" fontId="40" fillId="17" borderId="19" xfId="0" applyNumberFormat="1" applyFont="1" applyFill="1" applyBorder="1" applyAlignment="1">
      <alignment horizontal="center" vertical="center" wrapText="1"/>
    </xf>
    <xf numFmtId="9" fontId="42" fillId="17" borderId="19" xfId="0" applyNumberFormat="1" applyFont="1" applyFill="1" applyBorder="1" applyAlignment="1">
      <alignment horizontal="center" vertical="center" wrapText="1"/>
    </xf>
    <xf numFmtId="165" fontId="48" fillId="17" borderId="19" xfId="0" applyNumberFormat="1" applyFont="1" applyFill="1" applyBorder="1" applyAlignment="1">
      <alignment horizontal="center" vertical="center" wrapText="1"/>
    </xf>
    <xf numFmtId="166" fontId="41" fillId="40" borderId="19" xfId="0" applyNumberFormat="1" applyFont="1" applyFill="1" applyBorder="1" applyAlignment="1">
      <alignment horizontal="center" vertical="center" wrapText="1"/>
    </xf>
    <xf numFmtId="3" fontId="41" fillId="17" borderId="19" xfId="0" applyNumberFormat="1" applyFont="1" applyFill="1" applyBorder="1" applyAlignment="1">
      <alignment horizontal="center" vertical="center" wrapText="1"/>
    </xf>
    <xf numFmtId="3" fontId="40" fillId="17" borderId="19" xfId="0" applyNumberFormat="1" applyFont="1" applyFill="1" applyBorder="1" applyAlignment="1">
      <alignment horizontal="center" vertical="center" wrapText="1"/>
    </xf>
    <xf numFmtId="165" fontId="41" fillId="40" borderId="19" xfId="0" applyNumberFormat="1" applyFont="1" applyFill="1" applyBorder="1" applyAlignment="1">
      <alignment horizontal="center" vertical="center" wrapText="1"/>
    </xf>
    <xf numFmtId="165" fontId="40" fillId="40" borderId="19" xfId="0" applyNumberFormat="1" applyFont="1" applyFill="1" applyBorder="1" applyAlignment="1">
      <alignment horizontal="center" vertical="center" wrapText="1"/>
    </xf>
    <xf numFmtId="165" fontId="42" fillId="40" borderId="19" xfId="0" applyNumberFormat="1" applyFont="1" applyFill="1" applyBorder="1" applyAlignment="1">
      <alignment horizontal="center" vertical="center" wrapText="1"/>
    </xf>
    <xf numFmtId="165" fontId="42" fillId="40" borderId="19" xfId="0" quotePrefix="1" applyNumberFormat="1" applyFont="1" applyFill="1" applyBorder="1" applyAlignment="1">
      <alignment horizontal="center" vertical="center" wrapText="1"/>
    </xf>
    <xf numFmtId="165" fontId="42" fillId="17" borderId="19" xfId="0" applyNumberFormat="1" applyFont="1" applyFill="1" applyBorder="1" applyAlignment="1">
      <alignment horizontal="center" vertical="center" wrapText="1"/>
    </xf>
    <xf numFmtId="3" fontId="41" fillId="40" borderId="19" xfId="0" applyNumberFormat="1" applyFont="1" applyFill="1" applyBorder="1" applyAlignment="1">
      <alignment horizontal="center" vertical="center" wrapText="1"/>
    </xf>
    <xf numFmtId="3" fontId="40" fillId="40" borderId="19" xfId="0" applyNumberFormat="1" applyFont="1" applyFill="1" applyBorder="1" applyAlignment="1">
      <alignment horizontal="center" vertical="center" wrapText="1"/>
    </xf>
    <xf numFmtId="165" fontId="46" fillId="40" borderId="19" xfId="0" applyNumberFormat="1" applyFont="1" applyFill="1" applyBorder="1" applyAlignment="1">
      <alignment horizontal="center" vertical="center" wrapText="1"/>
    </xf>
    <xf numFmtId="9" fontId="7" fillId="6" borderId="3" xfId="1" applyFont="1" applyFill="1" applyBorder="1" applyAlignment="1">
      <alignment horizontal="center" vertical="center" wrapText="1"/>
    </xf>
    <xf numFmtId="9" fontId="7" fillId="8" borderId="3" xfId="1" applyFont="1" applyFill="1" applyBorder="1" applyAlignment="1">
      <alignment horizontal="center" vertical="center" wrapText="1"/>
    </xf>
    <xf numFmtId="0" fontId="2" fillId="0" borderId="21" xfId="2" applyBorder="1" applyAlignment="1">
      <alignment vertical="top" wrapText="1"/>
    </xf>
    <xf numFmtId="0" fontId="2" fillId="0" borderId="21" xfId="2" applyBorder="1" applyAlignment="1">
      <alignment horizontal="center" vertical="top" wrapText="1"/>
    </xf>
    <xf numFmtId="0" fontId="2" fillId="0" borderId="21" xfId="2" quotePrefix="1" applyBorder="1" applyAlignment="1">
      <alignment vertical="top" wrapText="1"/>
    </xf>
    <xf numFmtId="0" fontId="2" fillId="0" borderId="22" xfId="2" applyBorder="1" applyAlignment="1">
      <alignment vertical="top" wrapText="1"/>
    </xf>
    <xf numFmtId="0" fontId="2" fillId="0" borderId="18" xfId="2" applyBorder="1" applyAlignment="1">
      <alignment vertical="top" wrapText="1"/>
    </xf>
    <xf numFmtId="0" fontId="2" fillId="0" borderId="18" xfId="2" applyBorder="1" applyAlignment="1">
      <alignment horizontal="center" vertical="top" wrapText="1"/>
    </xf>
    <xf numFmtId="0" fontId="2" fillId="0" borderId="24" xfId="2" applyBorder="1" applyAlignment="1">
      <alignment vertical="top" wrapText="1"/>
    </xf>
    <xf numFmtId="0" fontId="2" fillId="0" borderId="26" xfId="2" applyBorder="1" applyAlignment="1">
      <alignment vertical="top" wrapText="1"/>
    </xf>
    <xf numFmtId="0" fontId="2" fillId="0" borderId="26" xfId="2" applyBorder="1" applyAlignment="1">
      <alignment horizontal="center" vertical="top" wrapText="1"/>
    </xf>
    <xf numFmtId="0" fontId="2" fillId="0" borderId="27" xfId="2" applyBorder="1" applyAlignment="1">
      <alignment vertical="top" wrapText="1"/>
    </xf>
    <xf numFmtId="0" fontId="2" fillId="0" borderId="29" xfId="2" applyBorder="1" applyAlignment="1">
      <alignment vertical="top" wrapText="1"/>
    </xf>
    <xf numFmtId="0" fontId="2" fillId="0" borderId="29" xfId="2" applyBorder="1" applyAlignment="1">
      <alignment horizontal="center" vertical="top" wrapText="1"/>
    </xf>
    <xf numFmtId="0" fontId="2" fillId="0" borderId="30" xfId="2" applyBorder="1" applyAlignment="1">
      <alignment vertical="top" wrapText="1"/>
    </xf>
    <xf numFmtId="165" fontId="2" fillId="0" borderId="26" xfId="2" applyNumberFormat="1" applyBorder="1" applyAlignment="1">
      <alignment horizontal="center" vertical="top" wrapText="1"/>
    </xf>
    <xf numFmtId="10" fontId="2" fillId="0" borderId="18" xfId="2" applyNumberFormat="1" applyBorder="1" applyAlignment="1">
      <alignment horizontal="center" vertical="top" wrapText="1"/>
    </xf>
    <xf numFmtId="9" fontId="2" fillId="0" borderId="18" xfId="2" applyNumberFormat="1" applyBorder="1" applyAlignment="1">
      <alignment horizontal="center" vertical="top" wrapText="1"/>
    </xf>
    <xf numFmtId="10" fontId="2" fillId="0" borderId="18" xfId="2" quotePrefix="1" applyNumberFormat="1" applyBorder="1" applyAlignment="1">
      <alignment horizontal="center" vertical="top" wrapText="1"/>
    </xf>
    <xf numFmtId="0" fontId="2" fillId="0" borderId="24" xfId="2" quotePrefix="1" applyBorder="1" applyAlignment="1">
      <alignment vertical="top" wrapText="1"/>
    </xf>
    <xf numFmtId="0" fontId="2" fillId="0" borderId="29" xfId="2" quotePrefix="1" applyBorder="1" applyAlignment="1">
      <alignment horizontal="center" vertical="top" wrapText="1"/>
    </xf>
    <xf numFmtId="0" fontId="2" fillId="0" borderId="29" xfId="2" quotePrefix="1" applyBorder="1" applyAlignment="1">
      <alignment vertical="top" wrapText="1"/>
    </xf>
    <xf numFmtId="0" fontId="2" fillId="0" borderId="18" xfId="2" quotePrefix="1" applyBorder="1" applyAlignment="1">
      <alignment vertical="top" wrapText="1"/>
    </xf>
    <xf numFmtId="9" fontId="2" fillId="0" borderId="26" xfId="2" applyNumberFormat="1" applyBorder="1" applyAlignment="1">
      <alignment horizontal="center" vertical="top" wrapText="1"/>
    </xf>
    <xf numFmtId="0" fontId="13" fillId="0" borderId="28" xfId="2" applyFont="1" applyBorder="1" applyAlignment="1">
      <alignment vertical="top" wrapText="1"/>
    </xf>
    <xf numFmtId="0" fontId="13" fillId="0" borderId="23" xfId="2" applyFont="1" applyBorder="1" applyAlignment="1">
      <alignment vertical="top" wrapText="1"/>
    </xf>
    <xf numFmtId="0" fontId="13" fillId="0" borderId="25" xfId="2" applyFont="1" applyBorder="1" applyAlignment="1">
      <alignment vertical="top" wrapText="1"/>
    </xf>
    <xf numFmtId="9" fontId="2" fillId="0" borderId="29" xfId="2" applyNumberFormat="1" applyBorder="1" applyAlignment="1">
      <alignment horizontal="center" vertical="top" wrapText="1"/>
    </xf>
    <xf numFmtId="0" fontId="18" fillId="0" borderId="18" xfId="2" applyFont="1" applyBorder="1" applyAlignment="1">
      <alignment horizontal="center" vertical="top" wrapText="1"/>
    </xf>
    <xf numFmtId="0" fontId="36" fillId="20" borderId="15" xfId="0" applyFont="1" applyFill="1" applyBorder="1" applyAlignment="1">
      <alignment vertical="top" wrapText="1"/>
    </xf>
    <xf numFmtId="0" fontId="36" fillId="20" borderId="15" xfId="0" applyFont="1" applyFill="1" applyBorder="1" applyAlignment="1">
      <alignment horizontal="center" vertical="top" wrapText="1"/>
    </xf>
    <xf numFmtId="20" fontId="18" fillId="0" borderId="34" xfId="0" applyNumberFormat="1" applyFont="1" applyBorder="1" applyAlignment="1">
      <alignment horizontal="center" vertical="top"/>
    </xf>
    <xf numFmtId="0" fontId="18" fillId="0" borderId="34" xfId="0" applyFont="1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34" xfId="0" applyBorder="1" applyAlignment="1">
      <alignment horizontal="left" vertical="top"/>
    </xf>
    <xf numFmtId="0" fontId="18" fillId="0" borderId="34" xfId="0" applyFont="1" applyBorder="1" applyAlignment="1">
      <alignment horizontal="center" vertical="top" wrapText="1"/>
    </xf>
    <xf numFmtId="0" fontId="0" fillId="0" borderId="34" xfId="0" applyBorder="1" applyAlignment="1">
      <alignment vertical="top" wrapText="1"/>
    </xf>
    <xf numFmtId="0" fontId="19" fillId="25" borderId="35" xfId="0" applyFont="1" applyFill="1" applyBorder="1" applyAlignment="1">
      <alignment horizontal="left" vertical="center" wrapText="1" readingOrder="1"/>
    </xf>
    <xf numFmtId="0" fontId="19" fillId="26" borderId="35" xfId="0" applyFont="1" applyFill="1" applyBorder="1" applyAlignment="1">
      <alignment horizontal="center" vertical="center" wrapText="1" readingOrder="1"/>
    </xf>
    <xf numFmtId="0" fontId="19" fillId="27" borderId="35" xfId="0" applyFont="1" applyFill="1" applyBorder="1" applyAlignment="1">
      <alignment horizontal="center" vertical="center" wrapText="1" readingOrder="1"/>
    </xf>
    <xf numFmtId="0" fontId="19" fillId="25" borderId="35" xfId="0" applyFont="1" applyFill="1" applyBorder="1" applyAlignment="1">
      <alignment horizontal="center" vertical="center" wrapText="1" readingOrder="1"/>
    </xf>
    <xf numFmtId="0" fontId="19" fillId="28" borderId="35" xfId="0" applyFont="1" applyFill="1" applyBorder="1" applyAlignment="1">
      <alignment horizontal="center" vertical="center" wrapText="1" readingOrder="1"/>
    </xf>
    <xf numFmtId="0" fontId="19" fillId="29" borderId="35" xfId="0" applyFont="1" applyFill="1" applyBorder="1" applyAlignment="1">
      <alignment horizontal="center" vertical="center" wrapText="1" readingOrder="1"/>
    </xf>
    <xf numFmtId="0" fontId="26" fillId="33" borderId="36" xfId="0" applyFont="1" applyFill="1" applyBorder="1" applyAlignment="1">
      <alignment horizontal="center" vertical="center" wrapText="1" readingOrder="1"/>
    </xf>
    <xf numFmtId="0" fontId="26" fillId="26" borderId="36" xfId="0" applyFont="1" applyFill="1" applyBorder="1" applyAlignment="1">
      <alignment horizontal="center" vertical="center" wrapText="1" readingOrder="1"/>
    </xf>
    <xf numFmtId="0" fontId="26" fillId="27" borderId="36" xfId="0" applyFont="1" applyFill="1" applyBorder="1" applyAlignment="1">
      <alignment horizontal="center" vertical="center" wrapText="1" readingOrder="1"/>
    </xf>
    <xf numFmtId="3" fontId="26" fillId="33" borderId="36" xfId="0" applyNumberFormat="1" applyFont="1" applyFill="1" applyBorder="1" applyAlignment="1">
      <alignment horizontal="center" vertical="center" wrapText="1" readingOrder="1"/>
    </xf>
    <xf numFmtId="3" fontId="26" fillId="26" borderId="36" xfId="0" applyNumberFormat="1" applyFont="1" applyFill="1" applyBorder="1" applyAlignment="1">
      <alignment horizontal="center" vertical="center" wrapText="1" readingOrder="1"/>
    </xf>
    <xf numFmtId="166" fontId="26" fillId="33" borderId="36" xfId="0" applyNumberFormat="1" applyFont="1" applyFill="1" applyBorder="1" applyAlignment="1">
      <alignment horizontal="center" vertical="center" wrapText="1" readingOrder="1"/>
    </xf>
    <xf numFmtId="0" fontId="27" fillId="33" borderId="36" xfId="0" applyFont="1" applyFill="1" applyBorder="1" applyAlignment="1">
      <alignment horizontal="center" vertical="center" wrapText="1" readingOrder="1"/>
    </xf>
    <xf numFmtId="166" fontId="28" fillId="33" borderId="36" xfId="0" applyNumberFormat="1" applyFont="1" applyFill="1" applyBorder="1" applyAlignment="1">
      <alignment horizontal="center" vertical="center" wrapText="1" readingOrder="1"/>
    </xf>
    <xf numFmtId="0" fontId="20" fillId="0" borderId="17" xfId="0" applyFont="1" applyBorder="1" applyAlignment="1">
      <alignment horizontal="left" vertical="center" wrapText="1" readingOrder="1"/>
    </xf>
    <xf numFmtId="0" fontId="21" fillId="30" borderId="17" xfId="0" applyFont="1" applyFill="1" applyBorder="1" applyAlignment="1">
      <alignment horizontal="center" vertical="center" wrapText="1" readingOrder="1"/>
    </xf>
    <xf numFmtId="0" fontId="21" fillId="31" borderId="17" xfId="0" applyFont="1" applyFill="1" applyBorder="1" applyAlignment="1">
      <alignment horizontal="center" vertical="center" wrapText="1" readingOrder="1"/>
    </xf>
    <xf numFmtId="0" fontId="21" fillId="0" borderId="17" xfId="0" applyFont="1" applyBorder="1" applyAlignment="1">
      <alignment horizontal="center" vertical="center" wrapText="1" readingOrder="1"/>
    </xf>
    <xf numFmtId="166" fontId="21" fillId="0" borderId="17" xfId="0" applyNumberFormat="1" applyFont="1" applyBorder="1" applyAlignment="1">
      <alignment horizontal="center" vertical="center" wrapText="1" readingOrder="1"/>
    </xf>
    <xf numFmtId="1" fontId="21" fillId="0" borderId="17" xfId="0" applyNumberFormat="1" applyFont="1" applyBorder="1" applyAlignment="1">
      <alignment horizontal="center" vertical="center" wrapText="1" readingOrder="1"/>
    </xf>
    <xf numFmtId="1" fontId="22" fillId="0" borderId="17" xfId="0" applyNumberFormat="1" applyFont="1" applyBorder="1" applyAlignment="1">
      <alignment horizontal="center" vertical="center" wrapText="1" readingOrder="1"/>
    </xf>
    <xf numFmtId="166" fontId="23" fillId="32" borderId="17" xfId="0" applyNumberFormat="1" applyFont="1" applyFill="1" applyBorder="1" applyAlignment="1">
      <alignment horizontal="center" vertical="center" wrapText="1" readingOrder="1"/>
    </xf>
    <xf numFmtId="0" fontId="24" fillId="0" borderId="17" xfId="0" applyFont="1" applyBorder="1" applyAlignment="1">
      <alignment horizontal="center" vertical="center" wrapText="1" readingOrder="1"/>
    </xf>
    <xf numFmtId="0" fontId="21" fillId="0" borderId="17" xfId="0" applyFont="1" applyBorder="1" applyAlignment="1">
      <alignment horizontal="left" vertical="center" wrapText="1" readingOrder="1"/>
    </xf>
    <xf numFmtId="0" fontId="22" fillId="0" borderId="17" xfId="0" applyFont="1" applyBorder="1" applyAlignment="1">
      <alignment horizontal="center" vertical="center" wrapText="1" readingOrder="1"/>
    </xf>
    <xf numFmtId="0" fontId="25" fillId="0" borderId="17" xfId="0" applyFont="1" applyBorder="1" applyAlignment="1">
      <alignment horizontal="center" vertical="center" wrapText="1" readingOrder="1"/>
    </xf>
    <xf numFmtId="0" fontId="19" fillId="29" borderId="35" xfId="0" applyFont="1" applyFill="1" applyBorder="1" applyAlignment="1">
      <alignment horizontal="left" vertical="center" wrapText="1" readingOrder="1"/>
    </xf>
    <xf numFmtId="0" fontId="26" fillId="33" borderId="36" xfId="0" applyFont="1" applyFill="1" applyBorder="1" applyAlignment="1">
      <alignment horizontal="left" vertical="center" wrapText="1" readingOrder="1"/>
    </xf>
    <xf numFmtId="0" fontId="20" fillId="37" borderId="17" xfId="0" applyFont="1" applyFill="1" applyBorder="1" applyAlignment="1">
      <alignment horizontal="center" vertical="center" wrapText="1" readingOrder="1"/>
    </xf>
    <xf numFmtId="1" fontId="20" fillId="37" borderId="17" xfId="0" applyNumberFormat="1" applyFont="1" applyFill="1" applyBorder="1" applyAlignment="1">
      <alignment horizontal="center" vertical="center" wrapText="1" readingOrder="1"/>
    </xf>
    <xf numFmtId="1" fontId="22" fillId="38" borderId="17" xfId="0" applyNumberFormat="1" applyFont="1" applyFill="1" applyBorder="1" applyAlignment="1">
      <alignment horizontal="left" vertical="center" wrapText="1" readingOrder="1"/>
    </xf>
    <xf numFmtId="0" fontId="24" fillId="38" borderId="17" xfId="0" applyFont="1" applyFill="1" applyBorder="1" applyAlignment="1">
      <alignment horizontal="left" vertical="center" wrapText="1" readingOrder="1"/>
    </xf>
    <xf numFmtId="0" fontId="22" fillId="38" borderId="17" xfId="0" applyFont="1" applyFill="1" applyBorder="1" applyAlignment="1">
      <alignment horizontal="left" vertical="center" wrapText="1" readingOrder="1"/>
    </xf>
    <xf numFmtId="0" fontId="25" fillId="38" borderId="17" xfId="0" applyFont="1" applyFill="1" applyBorder="1" applyAlignment="1">
      <alignment horizontal="left" vertical="center" wrapText="1" readingOrder="1"/>
    </xf>
    <xf numFmtId="0" fontId="20" fillId="30" borderId="17" xfId="0" applyFont="1" applyFill="1" applyBorder="1" applyAlignment="1">
      <alignment horizontal="center" vertical="center" wrapText="1" readingOrder="1"/>
    </xf>
    <xf numFmtId="0" fontId="38" fillId="2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49" fillId="6" borderId="0" xfId="0" applyFont="1" applyFill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8" borderId="0" xfId="0" applyFont="1" applyFill="1" applyAlignment="1">
      <alignment horizontal="center" vertical="center" wrapText="1"/>
    </xf>
    <xf numFmtId="0" fontId="1" fillId="0" borderId="18" xfId="2" applyFont="1" applyBorder="1" applyAlignment="1">
      <alignment vertical="top" wrapText="1"/>
    </xf>
    <xf numFmtId="167" fontId="2" fillId="0" borderId="18" xfId="2" applyNumberFormat="1" applyBorder="1" applyAlignment="1">
      <alignment horizontal="center" vertical="top" wrapText="1"/>
    </xf>
    <xf numFmtId="0" fontId="1" fillId="0" borderId="26" xfId="2" applyFont="1" applyBorder="1" applyAlignment="1">
      <alignment vertical="top" wrapText="1"/>
    </xf>
    <xf numFmtId="0" fontId="14" fillId="20" borderId="15" xfId="0" applyFont="1" applyFill="1" applyBorder="1"/>
    <xf numFmtId="0" fontId="50" fillId="0" borderId="21" xfId="2" applyFont="1" applyBorder="1" applyAlignment="1">
      <alignment horizontal="center" vertical="top" wrapText="1"/>
    </xf>
    <xf numFmtId="0" fontId="50" fillId="0" borderId="18" xfId="2" applyFont="1" applyBorder="1" applyAlignment="1">
      <alignment horizontal="center" vertical="top" wrapText="1"/>
    </xf>
    <xf numFmtId="0" fontId="50" fillId="0" borderId="26" xfId="2" applyFont="1" applyBorder="1" applyAlignment="1">
      <alignment horizontal="center" vertical="top" wrapText="1"/>
    </xf>
    <xf numFmtId="0" fontId="51" fillId="0" borderId="29" xfId="2" applyFont="1" applyBorder="1" applyAlignment="1">
      <alignment horizontal="center" vertical="top" wrapText="1"/>
    </xf>
    <xf numFmtId="0" fontId="52" fillId="0" borderId="26" xfId="2" applyFont="1" applyBorder="1" applyAlignment="1">
      <alignment horizontal="center" vertical="top" wrapText="1"/>
    </xf>
    <xf numFmtId="0" fontId="50" fillId="0" borderId="29" xfId="2" applyFont="1" applyBorder="1" applyAlignment="1">
      <alignment horizontal="center" vertical="top" wrapText="1"/>
    </xf>
    <xf numFmtId="0" fontId="53" fillId="0" borderId="18" xfId="2" applyFont="1" applyBorder="1" applyAlignment="1">
      <alignment horizontal="center" vertical="top" wrapText="1"/>
    </xf>
    <xf numFmtId="0" fontId="54" fillId="0" borderId="18" xfId="2" applyFont="1" applyBorder="1" applyAlignment="1">
      <alignment horizontal="center" vertical="top" wrapText="1"/>
    </xf>
    <xf numFmtId="0" fontId="52" fillId="0" borderId="18" xfId="2" applyFont="1" applyBorder="1" applyAlignment="1">
      <alignment horizontal="center" vertical="top" wrapText="1"/>
    </xf>
    <xf numFmtId="0" fontId="54" fillId="0" borderId="29" xfId="2" applyFont="1" applyBorder="1" applyAlignment="1">
      <alignment horizontal="center" vertical="top" wrapText="1"/>
    </xf>
    <xf numFmtId="0" fontId="53" fillId="0" borderId="29" xfId="2" applyFont="1" applyBorder="1" applyAlignment="1">
      <alignment horizontal="center" vertical="top" wrapText="1"/>
    </xf>
    <xf numFmtId="0" fontId="7" fillId="10" borderId="3" xfId="0" applyFont="1" applyFill="1" applyBorder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5" fillId="5" borderId="37" xfId="0" applyFont="1" applyFill="1" applyBorder="1" applyAlignment="1">
      <alignment horizontal="center" vertical="center" wrapText="1"/>
    </xf>
    <xf numFmtId="164" fontId="7" fillId="10" borderId="38" xfId="0" applyNumberFormat="1" applyFont="1" applyFill="1" applyBorder="1" applyAlignment="1">
      <alignment horizontal="left" vertical="center" wrapText="1"/>
    </xf>
    <xf numFmtId="164" fontId="7" fillId="11" borderId="38" xfId="0" applyNumberFormat="1" applyFont="1" applyFill="1" applyBorder="1" applyAlignment="1">
      <alignment horizontal="left" vertical="center" wrapText="1"/>
    </xf>
    <xf numFmtId="164" fontId="7" fillId="12" borderId="38" xfId="0" applyNumberFormat="1" applyFont="1" applyFill="1" applyBorder="1" applyAlignment="1">
      <alignment horizontal="left" vertical="center" wrapText="1"/>
    </xf>
    <xf numFmtId="0" fontId="5" fillId="13" borderId="3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5" fillId="6" borderId="0" xfId="0" applyFont="1" applyFill="1" applyAlignment="1">
      <alignment horizontal="center" vertical="center" wrapText="1"/>
    </xf>
    <xf numFmtId="0" fontId="56" fillId="6" borderId="0" xfId="0" applyFont="1" applyFill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6" fillId="8" borderId="0" xfId="0" applyFont="1" applyFill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7" fillId="6" borderId="0" xfId="0" applyNumberFormat="1" applyFont="1" applyFill="1" applyAlignment="1">
      <alignment horizontal="center" vertical="center" wrapText="1"/>
    </xf>
    <xf numFmtId="10" fontId="7" fillId="8" borderId="0" xfId="0" applyNumberFormat="1" applyFont="1" applyFill="1" applyAlignment="1">
      <alignment horizontal="center" vertical="center" wrapText="1"/>
    </xf>
    <xf numFmtId="165" fontId="7" fillId="8" borderId="0" xfId="0" applyNumberFormat="1" applyFont="1" applyFill="1" applyAlignment="1">
      <alignment horizontal="center" vertical="center" wrapText="1"/>
    </xf>
    <xf numFmtId="9" fontId="1" fillId="0" borderId="18" xfId="1" applyFont="1" applyBorder="1" applyAlignment="1">
      <alignment horizontal="center" vertical="top" wrapText="1"/>
    </xf>
    <xf numFmtId="44" fontId="1" fillId="0" borderId="18" xfId="4" applyFont="1" applyBorder="1" applyAlignment="1">
      <alignment horizontal="center" vertical="top" wrapText="1"/>
    </xf>
    <xf numFmtId="9" fontId="1" fillId="0" borderId="26" xfId="1" applyFont="1" applyBorder="1" applyAlignment="1">
      <alignment horizontal="center" vertical="top" wrapText="1"/>
    </xf>
    <xf numFmtId="0" fontId="57" fillId="42" borderId="3" xfId="0" applyFont="1" applyFill="1" applyBorder="1" applyAlignment="1">
      <alignment horizontal="center" vertical="center" wrapText="1"/>
    </xf>
    <xf numFmtId="9" fontId="7" fillId="6" borderId="3" xfId="0" applyNumberFormat="1" applyFont="1" applyFill="1" applyBorder="1" applyAlignment="1">
      <alignment horizontal="center" vertical="center" wrapText="1"/>
    </xf>
    <xf numFmtId="10" fontId="7" fillId="6" borderId="3" xfId="0" applyNumberFormat="1" applyFont="1" applyFill="1" applyBorder="1" applyAlignment="1">
      <alignment horizontal="center" vertical="center" wrapText="1"/>
    </xf>
    <xf numFmtId="2" fontId="7" fillId="6" borderId="3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8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 wrapText="1"/>
    </xf>
    <xf numFmtId="0" fontId="7" fillId="8" borderId="0" xfId="0" applyFont="1" applyFill="1" applyAlignment="1">
      <alignment vertical="center" wrapText="1"/>
    </xf>
    <xf numFmtId="0" fontId="8" fillId="8" borderId="0" xfId="0" applyFont="1" applyFill="1" applyAlignment="1">
      <alignment horizontal="center" vertical="center"/>
    </xf>
    <xf numFmtId="0" fontId="0" fillId="0" borderId="34" xfId="0" applyBorder="1" applyAlignment="1">
      <alignment horizontal="center" vertical="top" wrapText="1"/>
    </xf>
    <xf numFmtId="0" fontId="13" fillId="0" borderId="28" xfId="2" applyFont="1" applyBorder="1" applyAlignment="1">
      <alignment horizontal="left" vertical="top" wrapText="1"/>
    </xf>
    <xf numFmtId="14" fontId="7" fillId="6" borderId="3" xfId="0" applyNumberFormat="1" applyFont="1" applyFill="1" applyBorder="1" applyAlignment="1">
      <alignment horizontal="center" vertical="center" wrapText="1"/>
    </xf>
    <xf numFmtId="14" fontId="7" fillId="8" borderId="3" xfId="0" applyNumberFormat="1" applyFont="1" applyFill="1" applyBorder="1" applyAlignment="1">
      <alignment horizontal="center" vertical="center" wrapText="1"/>
    </xf>
    <xf numFmtId="0" fontId="7" fillId="43" borderId="0" xfId="0" applyFont="1" applyFill="1" applyAlignment="1">
      <alignment horizontal="left" vertical="center" wrapText="1"/>
    </xf>
    <xf numFmtId="0" fontId="56" fillId="4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4" fontId="7" fillId="43" borderId="0" xfId="0" applyNumberFormat="1" applyFont="1" applyFill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3" fontId="7" fillId="8" borderId="3" xfId="0" applyNumberFormat="1" applyFont="1" applyFill="1" applyBorder="1" applyAlignment="1">
      <alignment horizontal="center" vertical="center" wrapText="1"/>
    </xf>
    <xf numFmtId="3" fontId="7" fillId="6" borderId="3" xfId="0" applyNumberFormat="1" applyFont="1" applyFill="1" applyBorder="1" applyAlignment="1">
      <alignment horizontal="center" vertical="center" wrapText="1"/>
    </xf>
    <xf numFmtId="168" fontId="7" fillId="8" borderId="3" xfId="0" applyNumberFormat="1" applyFont="1" applyFill="1" applyBorder="1" applyAlignment="1">
      <alignment horizontal="center" vertical="center" wrapText="1"/>
    </xf>
    <xf numFmtId="166" fontId="7" fillId="6" borderId="3" xfId="0" applyNumberFormat="1" applyFont="1" applyFill="1" applyBorder="1" applyAlignment="1">
      <alignment horizontal="center" vertical="center" wrapText="1"/>
    </xf>
    <xf numFmtId="165" fontId="7" fillId="8" borderId="3" xfId="1" applyNumberFormat="1" applyFont="1" applyFill="1" applyBorder="1" applyAlignment="1">
      <alignment horizontal="center" vertical="center" wrapText="1"/>
    </xf>
    <xf numFmtId="167" fontId="7" fillId="8" borderId="3" xfId="0" applyNumberFormat="1" applyFont="1" applyFill="1" applyBorder="1" applyAlignment="1">
      <alignment horizontal="center" vertical="center" wrapText="1"/>
    </xf>
    <xf numFmtId="169" fontId="7" fillId="6" borderId="3" xfId="4" applyNumberFormat="1" applyFont="1" applyFill="1" applyBorder="1" applyAlignment="1">
      <alignment horizontal="center" vertical="center" wrapText="1"/>
    </xf>
    <xf numFmtId="165" fontId="7" fillId="6" borderId="3" xfId="1" applyNumberFormat="1" applyFont="1" applyFill="1" applyBorder="1" applyAlignment="1">
      <alignment horizontal="center" vertical="center" wrapText="1"/>
    </xf>
    <xf numFmtId="165" fontId="7" fillId="8" borderId="3" xfId="0" applyNumberFormat="1" applyFont="1" applyFill="1" applyBorder="1" applyAlignment="1">
      <alignment horizontal="center" vertical="center" wrapText="1"/>
    </xf>
    <xf numFmtId="165" fontId="7" fillId="6" borderId="3" xfId="0" applyNumberFormat="1" applyFont="1" applyFill="1" applyBorder="1" applyAlignment="1">
      <alignment horizontal="center" vertical="center" wrapText="1"/>
    </xf>
    <xf numFmtId="0" fontId="7" fillId="43" borderId="3" xfId="0" applyFont="1" applyFill="1" applyBorder="1" applyAlignment="1">
      <alignment horizontal="left" vertical="center" wrapText="1"/>
    </xf>
    <xf numFmtId="165" fontId="7" fillId="43" borderId="3" xfId="0" applyNumberFormat="1" applyFont="1" applyFill="1" applyBorder="1" applyAlignment="1">
      <alignment horizontal="center" vertical="center" wrapText="1"/>
    </xf>
    <xf numFmtId="0" fontId="7" fillId="4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9" fontId="7" fillId="43" borderId="3" xfId="0" applyNumberFormat="1" applyFont="1" applyFill="1" applyBorder="1" applyAlignment="1">
      <alignment horizontal="center" vertical="center" wrapText="1"/>
    </xf>
    <xf numFmtId="0" fontId="6" fillId="6" borderId="0" xfId="0" applyFont="1" applyFill="1" applyAlignment="1">
      <alignment vertical="center"/>
    </xf>
    <xf numFmtId="0" fontId="58" fillId="0" borderId="0" xfId="0" applyFont="1" applyAlignment="1">
      <alignment horizontal="center" vertical="center"/>
    </xf>
    <xf numFmtId="0" fontId="6" fillId="8" borderId="0" xfId="0" applyFont="1" applyFill="1" applyAlignment="1">
      <alignment vertical="center"/>
    </xf>
    <xf numFmtId="0" fontId="4" fillId="7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7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top" wrapText="1"/>
    </xf>
    <xf numFmtId="0" fontId="13" fillId="0" borderId="28" xfId="2" applyFont="1" applyBorder="1" applyAlignment="1">
      <alignment horizontal="left" vertical="top" wrapText="1"/>
    </xf>
    <xf numFmtId="0" fontId="13" fillId="0" borderId="23" xfId="2" applyFont="1" applyBorder="1" applyAlignment="1">
      <alignment horizontal="left" vertical="top" wrapText="1"/>
    </xf>
    <xf numFmtId="0" fontId="13" fillId="0" borderId="25" xfId="2" applyFont="1" applyBorder="1" applyAlignment="1">
      <alignment horizontal="left" vertical="top" wrapText="1"/>
    </xf>
    <xf numFmtId="0" fontId="13" fillId="0" borderId="31" xfId="2" applyFont="1" applyBorder="1" applyAlignment="1">
      <alignment horizontal="left" vertical="top" wrapText="1"/>
    </xf>
    <xf numFmtId="0" fontId="13" fillId="0" borderId="32" xfId="2" applyFont="1" applyBorder="1" applyAlignment="1">
      <alignment horizontal="left" vertical="top" wrapText="1"/>
    </xf>
    <xf numFmtId="0" fontId="13" fillId="0" borderId="33" xfId="2" applyFont="1" applyBorder="1" applyAlignment="1">
      <alignment horizontal="left" vertical="top" wrapText="1"/>
    </xf>
    <xf numFmtId="0" fontId="13" fillId="0" borderId="20" xfId="2" applyFont="1" applyBorder="1" applyAlignment="1">
      <alignment horizontal="left" vertical="top" wrapText="1"/>
    </xf>
    <xf numFmtId="0" fontId="38" fillId="2" borderId="0" xfId="0" applyFont="1" applyFill="1" applyAlignment="1">
      <alignment horizontal="center" vertical="center"/>
    </xf>
    <xf numFmtId="3" fontId="41" fillId="19" borderId="19" xfId="0" applyNumberFormat="1" applyFont="1" applyFill="1" applyBorder="1" applyAlignment="1">
      <alignment horizontal="center" vertical="center" wrapText="1"/>
    </xf>
  </cellXfs>
  <cellStyles count="5">
    <cellStyle name="Millares 2" xfId="3" xr:uid="{B1CA68C9-0AB4-4606-8E69-75929AA70482}"/>
    <cellStyle name="Moneda" xfId="4" builtinId="4"/>
    <cellStyle name="Normal" xfId="0" builtinId="0"/>
    <cellStyle name="Normal 2" xfId="2" xr:uid="{7E5FC34D-F756-46D0-B646-23338CED9664}"/>
    <cellStyle name="Porcentaje" xfId="1" builtinId="5"/>
  </cellStyles>
  <dxfs count="19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DDDDDD"/>
      <rgbColor rgb="FF808080"/>
      <rgbColor rgb="FF9999FF"/>
      <rgbColor rgb="FF993366"/>
      <rgbColor rgb="FFFFF9C4"/>
      <rgbColor rgb="FFE8F5E9"/>
      <rgbColor rgb="FF660066"/>
      <rgbColor rgb="FFFF8080"/>
      <rgbColor rgb="FF1E5FA8"/>
      <rgbColor rgb="FFD6DF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8E6C9"/>
      <rgbColor rgb="FFFFF8E1"/>
      <rgbColor rgb="FFEEEEEE"/>
      <rgbColor rgb="FFFFEBEE"/>
      <rgbColor rgb="FFF2F5FB"/>
      <rgbColor rgb="FFFFCDD2"/>
      <rgbColor rgb="FF3366FF"/>
      <rgbColor rgb="FF33CCCC"/>
      <rgbColor rgb="FF99CC00"/>
      <rgbColor rgb="FFFFCC00"/>
      <rgbColor rgb="FFE8A020"/>
      <rgbColor rgb="FFFF6600"/>
      <rgbColor rgb="FF666699"/>
      <rgbColor rgb="FFAAAAAA"/>
      <rgbColor rgb="FF1B2B5E"/>
      <rgbColor rgb="FF339966"/>
      <rgbColor rgb="FF003300"/>
      <rgbColor rgb="FF333300"/>
      <rgbColor rgb="FFC0392B"/>
      <rgbColor rgb="FF993366"/>
      <rgbColor rgb="FF33339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5FB"/>
      <color rgb="FFC6EFCE"/>
      <color rgb="FF3341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0163C-C509-487D-933E-5612AD35D3AE}">
  <sheetPr>
    <tabColor rgb="FFFFC000"/>
  </sheetPr>
  <dimension ref="A1:M16"/>
  <sheetViews>
    <sheetView showGridLines="0" topLeftCell="A10" workbookViewId="0">
      <selection activeCell="G2" sqref="G2"/>
    </sheetView>
  </sheetViews>
  <sheetFormatPr baseColWidth="10" defaultColWidth="11.42578125" defaultRowHeight="15" x14ac:dyDescent="0.25"/>
  <cols>
    <col min="1" max="1" width="23" bestFit="1" customWidth="1"/>
    <col min="2" max="2" width="2.5703125" customWidth="1"/>
    <col min="3" max="3" width="23" bestFit="1" customWidth="1"/>
    <col min="4" max="4" width="2.42578125" customWidth="1"/>
    <col min="5" max="5" width="23" bestFit="1" customWidth="1"/>
    <col min="6" max="6" width="3.7109375" customWidth="1"/>
    <col min="7" max="7" width="26.140625" customWidth="1"/>
    <col min="8" max="8" width="3.7109375" customWidth="1"/>
    <col min="9" max="9" width="23" bestFit="1" customWidth="1"/>
    <col min="10" max="10" width="3.7109375" customWidth="1"/>
    <col min="11" max="11" width="23" bestFit="1" customWidth="1"/>
    <col min="12" max="12" width="3.7109375" customWidth="1"/>
    <col min="13" max="13" width="23" bestFit="1" customWidth="1"/>
  </cols>
  <sheetData>
    <row r="1" spans="1:13" x14ac:dyDescent="0.25">
      <c r="G1" s="70" t="s">
        <v>0</v>
      </c>
    </row>
    <row r="2" spans="1:13" x14ac:dyDescent="0.25">
      <c r="G2">
        <v>1</v>
      </c>
    </row>
    <row r="3" spans="1:13" x14ac:dyDescent="0.25">
      <c r="G3">
        <v>2</v>
      </c>
    </row>
    <row r="4" spans="1:13" x14ac:dyDescent="0.25">
      <c r="G4">
        <v>3</v>
      </c>
    </row>
    <row r="5" spans="1:13" x14ac:dyDescent="0.25">
      <c r="G5">
        <v>4</v>
      </c>
    </row>
    <row r="6" spans="1:13" x14ac:dyDescent="0.25">
      <c r="G6">
        <v>5</v>
      </c>
    </row>
    <row r="7" spans="1:13" ht="15.75" thickBot="1" x14ac:dyDescent="0.3"/>
    <row r="8" spans="1:13" x14ac:dyDescent="0.25">
      <c r="G8" s="86" t="s">
        <v>1</v>
      </c>
    </row>
    <row r="9" spans="1:13" ht="15.75" thickBot="1" x14ac:dyDescent="0.3">
      <c r="G9" s="87" t="s">
        <v>2</v>
      </c>
    </row>
    <row r="11" spans="1:13" ht="15.75" thickBot="1" x14ac:dyDescent="0.3"/>
    <row r="12" spans="1:13" x14ac:dyDescent="0.25">
      <c r="A12" s="88" t="s">
        <v>3</v>
      </c>
      <c r="C12" s="88" t="s">
        <v>4</v>
      </c>
      <c r="E12" s="88" t="s">
        <v>4</v>
      </c>
      <c r="G12" s="88" t="s">
        <v>4</v>
      </c>
      <c r="I12" s="88" t="s">
        <v>4</v>
      </c>
      <c r="K12" s="88" t="s">
        <v>4</v>
      </c>
      <c r="M12" s="88" t="s">
        <v>4</v>
      </c>
    </row>
    <row r="13" spans="1:13" ht="15.75" thickBot="1" x14ac:dyDescent="0.3">
      <c r="A13" s="89" t="s">
        <v>5</v>
      </c>
      <c r="C13" s="89" t="s">
        <v>5</v>
      </c>
      <c r="E13" s="89" t="s">
        <v>5</v>
      </c>
      <c r="G13" s="89" t="s">
        <v>5</v>
      </c>
      <c r="I13" s="89" t="s">
        <v>5</v>
      </c>
      <c r="K13" s="89" t="s">
        <v>5</v>
      </c>
      <c r="M13" s="89" t="s">
        <v>5</v>
      </c>
    </row>
    <row r="14" spans="1:13" ht="15.75" thickBot="1" x14ac:dyDescent="0.3"/>
    <row r="15" spans="1:13" x14ac:dyDescent="0.25">
      <c r="A15" s="90" t="s">
        <v>6</v>
      </c>
      <c r="C15" s="90" t="s">
        <v>6</v>
      </c>
      <c r="E15" s="90" t="s">
        <v>6</v>
      </c>
      <c r="G15" s="90" t="s">
        <v>6</v>
      </c>
      <c r="I15" s="90" t="s">
        <v>6</v>
      </c>
      <c r="K15" s="90" t="s">
        <v>6</v>
      </c>
      <c r="M15" s="90" t="s">
        <v>6</v>
      </c>
    </row>
    <row r="16" spans="1:13" ht="15.75" thickBot="1" x14ac:dyDescent="0.3">
      <c r="A16" s="91" t="s">
        <v>5</v>
      </c>
      <c r="C16" s="91" t="s">
        <v>5</v>
      </c>
      <c r="E16" s="91" t="s">
        <v>5</v>
      </c>
      <c r="G16" s="91" t="s">
        <v>5</v>
      </c>
      <c r="I16" s="91" t="s">
        <v>5</v>
      </c>
      <c r="K16" s="91" t="s">
        <v>5</v>
      </c>
      <c r="M16" s="9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5DD6-ACC1-45AD-83D7-458801086959}">
  <sheetPr>
    <tabColor rgb="FFFFC000"/>
  </sheetPr>
  <dimension ref="A1:H68"/>
  <sheetViews>
    <sheetView showGridLines="0" workbookViewId="0">
      <pane xSplit="4" ySplit="2" topLeftCell="F13" activePane="bottomRight" state="frozen"/>
      <selection pane="topRight" activeCell="G2" sqref="G2"/>
      <selection pane="bottomLeft" activeCell="G2" sqref="G2"/>
      <selection pane="bottomRight" activeCell="C25" sqref="C25"/>
    </sheetView>
  </sheetViews>
  <sheetFormatPr baseColWidth="10" defaultColWidth="23.42578125" defaultRowHeight="15" x14ac:dyDescent="0.25"/>
  <cols>
    <col min="1" max="2" width="18" customWidth="1"/>
    <col min="3" max="3" width="37" bestFit="1" customWidth="1"/>
    <col min="4" max="4" width="32.140625" customWidth="1"/>
    <col min="5" max="5" width="26" customWidth="1"/>
    <col min="6" max="6" width="16.42578125" customWidth="1"/>
    <col min="7" max="7" width="24.5703125" customWidth="1"/>
    <col min="8" max="8" width="39.42578125" customWidth="1"/>
  </cols>
  <sheetData>
    <row r="1" spans="1:8" x14ac:dyDescent="0.25">
      <c r="A1" s="84" t="s">
        <v>7</v>
      </c>
      <c r="B1" s="84"/>
    </row>
    <row r="2" spans="1:8" x14ac:dyDescent="0.25">
      <c r="A2" s="255" t="s">
        <v>8</v>
      </c>
      <c r="B2" s="255" t="s">
        <v>9</v>
      </c>
      <c r="C2" s="255" t="s">
        <v>10</v>
      </c>
      <c r="D2" s="255" t="s">
        <v>11</v>
      </c>
      <c r="E2" s="255" t="s">
        <v>12</v>
      </c>
      <c r="F2" s="255" t="s">
        <v>13</v>
      </c>
      <c r="G2" s="255" t="s">
        <v>14</v>
      </c>
      <c r="H2" s="255" t="s">
        <v>15</v>
      </c>
    </row>
    <row r="3" spans="1:8" s="85" customFormat="1" x14ac:dyDescent="0.25">
      <c r="A3" s="211" t="s">
        <v>16</v>
      </c>
      <c r="B3" s="211" t="s">
        <v>17</v>
      </c>
      <c r="C3" s="211" t="s">
        <v>18</v>
      </c>
      <c r="D3" s="211" t="s">
        <v>19</v>
      </c>
      <c r="E3" s="211" t="s">
        <v>20</v>
      </c>
      <c r="F3" s="211"/>
      <c r="G3" s="211"/>
      <c r="H3" s="211"/>
    </row>
    <row r="4" spans="1:8" s="85" customFormat="1" x14ac:dyDescent="0.25">
      <c r="A4" s="211" t="s">
        <v>16</v>
      </c>
      <c r="B4" s="211" t="s">
        <v>17</v>
      </c>
      <c r="C4" s="211" t="s">
        <v>21</v>
      </c>
      <c r="D4" s="211"/>
      <c r="E4" s="211" t="s">
        <v>20</v>
      </c>
      <c r="F4" s="211"/>
      <c r="G4" s="211"/>
      <c r="H4" s="211"/>
    </row>
    <row r="5" spans="1:8" s="85" customFormat="1" x14ac:dyDescent="0.25">
      <c r="A5" s="211" t="s">
        <v>16</v>
      </c>
      <c r="B5" s="211" t="s">
        <v>17</v>
      </c>
      <c r="C5" s="211" t="s">
        <v>22</v>
      </c>
      <c r="D5" s="211"/>
      <c r="E5" s="211" t="s">
        <v>20</v>
      </c>
      <c r="F5" s="211"/>
      <c r="G5" s="211"/>
      <c r="H5" s="211"/>
    </row>
    <row r="6" spans="1:8" s="85" customFormat="1" x14ac:dyDescent="0.25">
      <c r="A6" s="211" t="s">
        <v>16</v>
      </c>
      <c r="B6" s="211" t="s">
        <v>17</v>
      </c>
      <c r="C6" s="211" t="s">
        <v>23</v>
      </c>
      <c r="D6" s="211"/>
      <c r="E6" s="211" t="s">
        <v>20</v>
      </c>
      <c r="F6" s="211"/>
      <c r="G6" s="211"/>
      <c r="H6" s="211"/>
    </row>
    <row r="7" spans="1:8" s="85" customFormat="1" x14ac:dyDescent="0.25">
      <c r="A7" s="211" t="s">
        <v>16</v>
      </c>
      <c r="B7" s="211" t="s">
        <v>17</v>
      </c>
      <c r="C7" s="211" t="s">
        <v>24</v>
      </c>
      <c r="D7" s="211"/>
      <c r="E7" s="211" t="s">
        <v>20</v>
      </c>
      <c r="F7" s="211"/>
      <c r="G7" s="211"/>
      <c r="H7" s="211"/>
    </row>
    <row r="8" spans="1:8" s="85" customFormat="1" x14ac:dyDescent="0.25">
      <c r="A8" s="211" t="s">
        <v>16</v>
      </c>
      <c r="B8" s="211" t="s">
        <v>17</v>
      </c>
      <c r="C8" s="211" t="s">
        <v>25</v>
      </c>
      <c r="D8" s="211"/>
      <c r="E8" s="211" t="s">
        <v>20</v>
      </c>
      <c r="F8" s="211"/>
      <c r="G8" s="211"/>
      <c r="H8" s="211"/>
    </row>
    <row r="9" spans="1:8" s="85" customFormat="1" x14ac:dyDescent="0.25">
      <c r="A9" s="211" t="s">
        <v>16</v>
      </c>
      <c r="B9" s="211" t="s">
        <v>17</v>
      </c>
      <c r="C9" s="211" t="s">
        <v>26</v>
      </c>
      <c r="D9" s="211"/>
      <c r="E9" s="211" t="s">
        <v>20</v>
      </c>
      <c r="F9" s="211"/>
      <c r="G9" s="211"/>
      <c r="H9" s="211"/>
    </row>
    <row r="10" spans="1:8" s="85" customFormat="1" x14ac:dyDescent="0.25">
      <c r="A10" s="211" t="s">
        <v>16</v>
      </c>
      <c r="B10" s="211" t="s">
        <v>27</v>
      </c>
      <c r="C10" s="211" t="s">
        <v>28</v>
      </c>
      <c r="D10" s="211"/>
      <c r="E10" s="211" t="s">
        <v>20</v>
      </c>
      <c r="F10" s="211"/>
      <c r="G10" s="211"/>
      <c r="H10" s="211"/>
    </row>
    <row r="11" spans="1:8" s="85" customFormat="1" x14ac:dyDescent="0.25">
      <c r="A11" s="211" t="s">
        <v>16</v>
      </c>
      <c r="B11" s="211" t="s">
        <v>27</v>
      </c>
      <c r="C11" s="211" t="s">
        <v>29</v>
      </c>
      <c r="D11" s="211"/>
      <c r="E11" s="211" t="s">
        <v>20</v>
      </c>
      <c r="F11" s="211"/>
      <c r="G11" s="211"/>
      <c r="H11" s="211"/>
    </row>
    <row r="12" spans="1:8" s="85" customFormat="1" x14ac:dyDescent="0.25">
      <c r="A12" s="211" t="s">
        <v>16</v>
      </c>
      <c r="B12" s="211" t="s">
        <v>27</v>
      </c>
      <c r="C12" s="211" t="s">
        <v>30</v>
      </c>
      <c r="D12" s="211"/>
      <c r="E12" s="211" t="s">
        <v>20</v>
      </c>
      <c r="F12" s="211"/>
      <c r="G12" s="211"/>
      <c r="H12" s="211"/>
    </row>
    <row r="13" spans="1:8" s="85" customFormat="1" x14ac:dyDescent="0.25">
      <c r="A13" s="211" t="s">
        <v>16</v>
      </c>
      <c r="B13" s="211" t="s">
        <v>27</v>
      </c>
      <c r="C13" s="211" t="s">
        <v>31</v>
      </c>
      <c r="D13" s="211"/>
      <c r="E13" s="211"/>
      <c r="F13" s="211"/>
      <c r="G13" s="211"/>
      <c r="H13" s="211"/>
    </row>
    <row r="14" spans="1:8" s="85" customFormat="1" x14ac:dyDescent="0.25">
      <c r="A14" s="211" t="s">
        <v>16</v>
      </c>
      <c r="B14" s="211" t="s">
        <v>27</v>
      </c>
      <c r="C14" s="211" t="s">
        <v>32</v>
      </c>
      <c r="D14" s="211"/>
      <c r="E14" s="211" t="s">
        <v>20</v>
      </c>
      <c r="F14" s="211"/>
      <c r="G14" s="211"/>
      <c r="H14" s="211"/>
    </row>
    <row r="15" spans="1:8" s="85" customFormat="1" x14ac:dyDescent="0.25">
      <c r="A15" s="211" t="s">
        <v>16</v>
      </c>
      <c r="B15" s="211" t="s">
        <v>27</v>
      </c>
      <c r="C15" s="211" t="s">
        <v>33</v>
      </c>
      <c r="D15" s="211"/>
      <c r="E15" s="211" t="s">
        <v>20</v>
      </c>
      <c r="F15" s="211"/>
      <c r="G15" s="211"/>
      <c r="H15" s="211"/>
    </row>
    <row r="16" spans="1:8" s="85" customFormat="1" x14ac:dyDescent="0.25">
      <c r="A16" s="211" t="s">
        <v>16</v>
      </c>
      <c r="B16" s="211" t="s">
        <v>27</v>
      </c>
      <c r="C16" s="211" t="s">
        <v>34</v>
      </c>
      <c r="D16" s="211"/>
      <c r="E16" s="211" t="s">
        <v>20</v>
      </c>
      <c r="F16" s="211"/>
      <c r="G16" s="211"/>
      <c r="H16" s="211"/>
    </row>
    <row r="17" spans="1:8" s="85" customFormat="1" x14ac:dyDescent="0.25">
      <c r="A17" s="211" t="s">
        <v>16</v>
      </c>
      <c r="B17" s="211" t="s">
        <v>27</v>
      </c>
      <c r="C17" s="211" t="s">
        <v>35</v>
      </c>
      <c r="D17" s="211"/>
      <c r="E17" s="211"/>
      <c r="F17" s="211"/>
      <c r="G17" s="211"/>
      <c r="H17" s="211"/>
    </row>
    <row r="18" spans="1:8" s="85" customFormat="1" x14ac:dyDescent="0.25">
      <c r="A18" s="211" t="s">
        <v>16</v>
      </c>
      <c r="B18" s="211" t="s">
        <v>27</v>
      </c>
      <c r="C18" s="211" t="s">
        <v>36</v>
      </c>
      <c r="D18" s="211"/>
      <c r="E18" s="211" t="s">
        <v>20</v>
      </c>
      <c r="F18" s="211"/>
      <c r="G18" s="211"/>
      <c r="H18" s="211"/>
    </row>
    <row r="19" spans="1:8" s="85" customFormat="1" x14ac:dyDescent="0.25">
      <c r="A19" s="211" t="s">
        <v>16</v>
      </c>
      <c r="B19" s="211" t="s">
        <v>27</v>
      </c>
      <c r="C19" s="211" t="s">
        <v>37</v>
      </c>
      <c r="D19" s="211"/>
      <c r="E19" s="211" t="s">
        <v>20</v>
      </c>
      <c r="F19" s="211"/>
      <c r="G19" s="211"/>
      <c r="H19" s="211"/>
    </row>
    <row r="20" spans="1:8" s="85" customFormat="1" x14ac:dyDescent="0.25">
      <c r="A20" s="211" t="s">
        <v>16</v>
      </c>
      <c r="B20" s="211" t="s">
        <v>27</v>
      </c>
      <c r="C20" s="211" t="s">
        <v>38</v>
      </c>
      <c r="D20" s="211"/>
      <c r="E20" s="211" t="s">
        <v>20</v>
      </c>
      <c r="F20" s="211"/>
      <c r="G20" s="211"/>
      <c r="H20" s="211"/>
    </row>
    <row r="21" spans="1:8" s="85" customFormat="1" x14ac:dyDescent="0.25">
      <c r="A21" s="211" t="s">
        <v>16</v>
      </c>
      <c r="B21" s="211" t="s">
        <v>27</v>
      </c>
      <c r="C21" s="211" t="s">
        <v>39</v>
      </c>
      <c r="D21" s="211"/>
      <c r="E21" s="211"/>
      <c r="F21" s="211"/>
      <c r="G21" s="211"/>
      <c r="H21" s="211"/>
    </row>
    <row r="22" spans="1:8" s="85" customFormat="1" x14ac:dyDescent="0.25">
      <c r="A22" s="211" t="s">
        <v>16</v>
      </c>
      <c r="B22" s="211" t="s">
        <v>27</v>
      </c>
      <c r="C22" s="211" t="s">
        <v>40</v>
      </c>
      <c r="D22" s="211"/>
      <c r="E22" s="211" t="s">
        <v>20</v>
      </c>
      <c r="F22" s="211"/>
      <c r="G22" s="211"/>
      <c r="H22" s="211"/>
    </row>
    <row r="23" spans="1:8" s="85" customFormat="1" x14ac:dyDescent="0.25">
      <c r="A23" s="211" t="s">
        <v>16</v>
      </c>
      <c r="B23" s="211" t="s">
        <v>27</v>
      </c>
      <c r="C23" s="211" t="s">
        <v>41</v>
      </c>
      <c r="D23" s="211"/>
      <c r="E23" s="211" t="s">
        <v>20</v>
      </c>
      <c r="F23" s="211"/>
      <c r="G23" s="211"/>
      <c r="H23" s="211"/>
    </row>
    <row r="24" spans="1:8" s="85" customFormat="1" x14ac:dyDescent="0.25">
      <c r="A24" s="211" t="s">
        <v>16</v>
      </c>
      <c r="B24" s="211" t="s">
        <v>27</v>
      </c>
      <c r="C24" s="211" t="s">
        <v>42</v>
      </c>
      <c r="D24" s="211"/>
      <c r="E24" s="211" t="s">
        <v>20</v>
      </c>
      <c r="F24" s="211"/>
      <c r="G24" s="211"/>
      <c r="H24" s="211"/>
    </row>
    <row r="25" spans="1:8" s="85" customFormat="1" x14ac:dyDescent="0.25">
      <c r="A25" s="211" t="s">
        <v>16</v>
      </c>
      <c r="B25" s="211" t="s">
        <v>43</v>
      </c>
      <c r="C25" s="211" t="s">
        <v>44</v>
      </c>
      <c r="D25" s="211"/>
      <c r="E25" s="211"/>
      <c r="F25" s="211"/>
      <c r="G25" s="211"/>
      <c r="H25" s="211"/>
    </row>
    <row r="26" spans="1:8" s="85" customFormat="1" x14ac:dyDescent="0.25">
      <c r="A26" s="211" t="s">
        <v>16</v>
      </c>
      <c r="B26" s="211" t="s">
        <v>43</v>
      </c>
      <c r="C26" s="211" t="s">
        <v>45</v>
      </c>
      <c r="D26" s="211"/>
      <c r="E26" s="211"/>
      <c r="F26" s="211"/>
      <c r="G26" s="211"/>
      <c r="H26" s="211"/>
    </row>
    <row r="27" spans="1:8" s="85" customFormat="1" x14ac:dyDescent="0.25">
      <c r="A27" s="211" t="s">
        <v>16</v>
      </c>
      <c r="B27" s="211" t="s">
        <v>43</v>
      </c>
      <c r="C27" s="211"/>
      <c r="D27" s="211"/>
      <c r="E27" s="211"/>
      <c r="F27" s="211"/>
      <c r="G27" s="211"/>
      <c r="H27" s="211"/>
    </row>
    <row r="28" spans="1:8" s="85" customFormat="1" x14ac:dyDescent="0.25">
      <c r="A28" s="211" t="s">
        <v>16</v>
      </c>
      <c r="B28" s="211" t="s">
        <v>43</v>
      </c>
      <c r="C28" s="211"/>
      <c r="D28" s="211"/>
      <c r="E28" s="211"/>
      <c r="F28" s="211"/>
      <c r="G28" s="211"/>
      <c r="H28" s="211"/>
    </row>
    <row r="29" spans="1:8" s="85" customFormat="1" x14ac:dyDescent="0.25">
      <c r="A29" s="211" t="s">
        <v>16</v>
      </c>
      <c r="B29" s="211" t="s">
        <v>43</v>
      </c>
      <c r="C29" s="211"/>
      <c r="D29" s="211"/>
      <c r="E29" s="211"/>
      <c r="F29" s="211"/>
      <c r="G29" s="211"/>
      <c r="H29" s="211"/>
    </row>
    <row r="30" spans="1:8" s="85" customFormat="1" x14ac:dyDescent="0.25">
      <c r="A30" s="211" t="s">
        <v>16</v>
      </c>
      <c r="B30" s="211" t="s">
        <v>46</v>
      </c>
      <c r="C30" s="211"/>
      <c r="D30" s="211"/>
      <c r="E30" s="211"/>
      <c r="F30" s="211"/>
      <c r="G30" s="211"/>
      <c r="H30" s="211"/>
    </row>
    <row r="31" spans="1:8" s="85" customFormat="1" x14ac:dyDescent="0.25">
      <c r="A31" s="211" t="s">
        <v>16</v>
      </c>
      <c r="B31" s="211" t="s">
        <v>46</v>
      </c>
      <c r="C31" s="211"/>
      <c r="D31" s="211"/>
      <c r="E31" s="211"/>
      <c r="F31" s="211"/>
      <c r="G31" s="211"/>
      <c r="H31" s="211"/>
    </row>
    <row r="32" spans="1:8" s="85" customFormat="1" x14ac:dyDescent="0.25">
      <c r="A32" s="211" t="s">
        <v>16</v>
      </c>
      <c r="B32" s="211" t="s">
        <v>46</v>
      </c>
      <c r="C32" s="211"/>
      <c r="D32" s="211"/>
      <c r="E32" s="211"/>
      <c r="F32" s="211"/>
      <c r="G32" s="211"/>
      <c r="H32" s="211"/>
    </row>
    <row r="33" spans="1:8" s="85" customFormat="1" x14ac:dyDescent="0.25">
      <c r="A33" s="211" t="s">
        <v>16</v>
      </c>
      <c r="B33" s="211" t="s">
        <v>46</v>
      </c>
      <c r="C33" s="211"/>
      <c r="D33" s="211"/>
      <c r="E33" s="211"/>
      <c r="F33" s="211"/>
      <c r="G33" s="211"/>
      <c r="H33" s="211"/>
    </row>
    <row r="34" spans="1:8" s="85" customFormat="1" x14ac:dyDescent="0.25">
      <c r="A34" s="211" t="s">
        <v>16</v>
      </c>
      <c r="B34" s="211" t="s">
        <v>46</v>
      </c>
      <c r="C34" s="211"/>
      <c r="D34" s="211"/>
      <c r="E34" s="211"/>
      <c r="F34" s="211"/>
      <c r="G34" s="211"/>
      <c r="H34" s="211"/>
    </row>
    <row r="35" spans="1:8" s="85" customFormat="1" x14ac:dyDescent="0.25">
      <c r="A35" s="211" t="s">
        <v>47</v>
      </c>
      <c r="B35" s="211" t="s">
        <v>48</v>
      </c>
      <c r="C35" s="211"/>
      <c r="D35" s="211"/>
      <c r="E35" s="211"/>
      <c r="F35" s="211"/>
      <c r="G35" s="211"/>
      <c r="H35" s="211"/>
    </row>
    <row r="36" spans="1:8" s="85" customFormat="1" x14ac:dyDescent="0.25">
      <c r="A36" s="211" t="s">
        <v>47</v>
      </c>
      <c r="B36" s="211" t="s">
        <v>48</v>
      </c>
      <c r="C36" s="211"/>
      <c r="D36" s="211"/>
      <c r="E36" s="211"/>
      <c r="F36" s="211"/>
      <c r="G36" s="211"/>
      <c r="H36" s="211"/>
    </row>
    <row r="37" spans="1:8" s="85" customFormat="1" x14ac:dyDescent="0.25">
      <c r="A37" s="211" t="s">
        <v>47</v>
      </c>
      <c r="B37" s="211" t="s">
        <v>48</v>
      </c>
      <c r="C37" s="211"/>
      <c r="D37" s="211"/>
      <c r="E37" s="211"/>
      <c r="F37" s="211"/>
      <c r="G37" s="211"/>
      <c r="H37" s="211"/>
    </row>
    <row r="38" spans="1:8" s="85" customFormat="1" x14ac:dyDescent="0.25">
      <c r="A38" s="211" t="s">
        <v>47</v>
      </c>
      <c r="B38" s="211" t="s">
        <v>48</v>
      </c>
      <c r="C38" s="211"/>
      <c r="D38" s="211"/>
      <c r="E38" s="211"/>
      <c r="F38" s="211"/>
      <c r="G38" s="211"/>
      <c r="H38" s="211"/>
    </row>
    <row r="39" spans="1:8" s="85" customFormat="1" x14ac:dyDescent="0.25">
      <c r="A39" s="211" t="s">
        <v>47</v>
      </c>
      <c r="B39" s="211" t="s">
        <v>48</v>
      </c>
      <c r="C39" s="211"/>
      <c r="D39" s="211"/>
      <c r="E39" s="211"/>
      <c r="F39" s="211"/>
      <c r="G39" s="211"/>
      <c r="H39" s="211"/>
    </row>
    <row r="40" spans="1:8" s="85" customFormat="1" x14ac:dyDescent="0.25">
      <c r="A40" s="211" t="s">
        <v>47</v>
      </c>
      <c r="B40" s="211" t="s">
        <v>48</v>
      </c>
      <c r="C40" s="211"/>
      <c r="D40" s="211"/>
      <c r="E40" s="211"/>
      <c r="F40" s="211"/>
      <c r="G40" s="211"/>
      <c r="H40" s="211"/>
    </row>
    <row r="41" spans="1:8" s="85" customFormat="1" x14ac:dyDescent="0.25">
      <c r="A41" s="211" t="s">
        <v>47</v>
      </c>
      <c r="B41" s="211" t="s">
        <v>48</v>
      </c>
      <c r="C41" s="211"/>
      <c r="D41" s="211"/>
      <c r="E41" s="211"/>
      <c r="F41" s="211"/>
      <c r="G41" s="211"/>
      <c r="H41" s="211"/>
    </row>
    <row r="42" spans="1:8" s="85" customFormat="1" x14ac:dyDescent="0.25">
      <c r="A42" s="211" t="s">
        <v>47</v>
      </c>
      <c r="B42" s="211" t="s">
        <v>48</v>
      </c>
      <c r="C42" s="211"/>
      <c r="D42" s="211"/>
      <c r="E42" s="211"/>
      <c r="F42" s="211"/>
      <c r="G42" s="211"/>
      <c r="H42" s="211"/>
    </row>
    <row r="43" spans="1:8" s="85" customFormat="1" x14ac:dyDescent="0.25">
      <c r="A43" s="211" t="s">
        <v>47</v>
      </c>
      <c r="B43" s="211" t="s">
        <v>48</v>
      </c>
      <c r="C43" s="211"/>
      <c r="D43" s="211"/>
      <c r="E43" s="211"/>
      <c r="F43" s="211"/>
      <c r="G43" s="211"/>
      <c r="H43" s="211"/>
    </row>
    <row r="44" spans="1:8" s="85" customFormat="1" x14ac:dyDescent="0.25">
      <c r="A44" s="211" t="s">
        <v>49</v>
      </c>
      <c r="B44" s="211"/>
      <c r="C44" s="211"/>
      <c r="D44" s="211"/>
      <c r="E44" s="211"/>
      <c r="F44" s="211"/>
      <c r="G44" s="211"/>
      <c r="H44" s="211"/>
    </row>
    <row r="45" spans="1:8" s="85" customFormat="1" x14ac:dyDescent="0.25">
      <c r="A45" s="211" t="s">
        <v>49</v>
      </c>
      <c r="B45" s="211"/>
      <c r="C45" s="211"/>
      <c r="D45" s="211"/>
      <c r="E45" s="211"/>
      <c r="F45" s="211"/>
      <c r="G45" s="211"/>
      <c r="H45" s="211"/>
    </row>
    <row r="46" spans="1:8" s="85" customFormat="1" x14ac:dyDescent="0.25">
      <c r="A46" s="211" t="s">
        <v>49</v>
      </c>
      <c r="B46" s="211"/>
      <c r="C46" s="211"/>
      <c r="D46" s="211"/>
      <c r="E46" s="211"/>
      <c r="F46" s="211"/>
      <c r="G46" s="211"/>
      <c r="H46" s="211"/>
    </row>
    <row r="47" spans="1:8" s="85" customFormat="1" x14ac:dyDescent="0.25">
      <c r="A47" s="211" t="s">
        <v>49</v>
      </c>
      <c r="B47" s="211"/>
      <c r="C47" s="211"/>
      <c r="D47" s="211"/>
      <c r="E47" s="211"/>
      <c r="F47" s="211"/>
      <c r="G47" s="211"/>
      <c r="H47" s="211"/>
    </row>
    <row r="48" spans="1:8" s="85" customFormat="1" x14ac:dyDescent="0.25">
      <c r="A48" s="211" t="s">
        <v>49</v>
      </c>
      <c r="B48" s="211"/>
      <c r="C48" s="211"/>
      <c r="D48" s="211"/>
      <c r="E48" s="211"/>
      <c r="F48" s="211"/>
      <c r="G48" s="211"/>
      <c r="H48" s="211"/>
    </row>
    <row r="49" spans="1:8" s="85" customFormat="1" x14ac:dyDescent="0.25">
      <c r="A49" s="211" t="s">
        <v>49</v>
      </c>
      <c r="B49" s="211"/>
      <c r="C49" s="211"/>
      <c r="D49" s="211"/>
      <c r="E49" s="211"/>
      <c r="F49" s="211"/>
      <c r="G49" s="211"/>
      <c r="H49" s="211"/>
    </row>
    <row r="50" spans="1:8" s="85" customFormat="1" x14ac:dyDescent="0.25">
      <c r="A50" s="211" t="s">
        <v>49</v>
      </c>
      <c r="B50" s="211"/>
      <c r="C50" s="211"/>
      <c r="D50" s="211"/>
      <c r="E50" s="211"/>
      <c r="F50" s="211"/>
      <c r="G50" s="211"/>
      <c r="H50" s="211"/>
    </row>
    <row r="51" spans="1:8" s="85" customFormat="1" x14ac:dyDescent="0.25">
      <c r="A51" s="211" t="s">
        <v>49</v>
      </c>
      <c r="B51" s="211"/>
      <c r="C51" s="211"/>
      <c r="D51" s="211"/>
      <c r="E51" s="211"/>
      <c r="F51" s="211"/>
      <c r="G51" s="211"/>
      <c r="H51" s="211"/>
    </row>
    <row r="52" spans="1:8" s="85" customFormat="1" x14ac:dyDescent="0.25">
      <c r="A52" s="211" t="s">
        <v>50</v>
      </c>
      <c r="B52" s="211"/>
      <c r="C52" s="211"/>
      <c r="D52" s="211"/>
      <c r="E52" s="211"/>
      <c r="F52" s="211"/>
      <c r="G52" s="211"/>
      <c r="H52" s="211"/>
    </row>
    <row r="53" spans="1:8" s="85" customFormat="1" x14ac:dyDescent="0.25">
      <c r="A53" s="211" t="s">
        <v>50</v>
      </c>
      <c r="B53" s="211"/>
      <c r="C53" s="211"/>
      <c r="D53" s="211"/>
      <c r="E53" s="211"/>
      <c r="F53" s="211"/>
      <c r="G53" s="211"/>
      <c r="H53" s="211"/>
    </row>
    <row r="54" spans="1:8" s="85" customFormat="1" x14ac:dyDescent="0.25">
      <c r="A54" s="211" t="s">
        <v>50</v>
      </c>
      <c r="B54" s="211"/>
      <c r="C54" s="211"/>
      <c r="D54" s="211"/>
      <c r="E54" s="211"/>
      <c r="F54" s="211"/>
      <c r="G54" s="211"/>
      <c r="H54" s="211"/>
    </row>
    <row r="55" spans="1:8" s="85" customFormat="1" x14ac:dyDescent="0.25">
      <c r="A55" s="211" t="s">
        <v>50</v>
      </c>
      <c r="B55" s="211"/>
      <c r="C55" s="211"/>
      <c r="D55" s="211"/>
      <c r="E55" s="211"/>
      <c r="F55" s="211"/>
      <c r="G55" s="211"/>
      <c r="H55" s="211"/>
    </row>
    <row r="56" spans="1:8" s="85" customFormat="1" x14ac:dyDescent="0.25">
      <c r="A56" s="211" t="s">
        <v>50</v>
      </c>
      <c r="B56" s="211"/>
      <c r="C56" s="211"/>
      <c r="D56" s="211"/>
      <c r="E56" s="211"/>
      <c r="F56" s="211"/>
      <c r="G56" s="211"/>
      <c r="H56" s="211"/>
    </row>
    <row r="57" spans="1:8" s="85" customFormat="1" x14ac:dyDescent="0.25">
      <c r="A57" s="211" t="s">
        <v>50</v>
      </c>
      <c r="B57" s="211"/>
      <c r="C57" s="211"/>
      <c r="D57" s="211"/>
      <c r="E57" s="211"/>
      <c r="F57" s="211"/>
      <c r="G57" s="211"/>
      <c r="H57" s="211"/>
    </row>
    <row r="58" spans="1:8" s="85" customFormat="1" x14ac:dyDescent="0.25">
      <c r="A58" s="211" t="s">
        <v>51</v>
      </c>
      <c r="B58" s="211"/>
      <c r="C58" s="211"/>
      <c r="D58" s="211"/>
      <c r="E58" s="211"/>
      <c r="F58" s="211"/>
      <c r="G58" s="211"/>
      <c r="H58" s="211"/>
    </row>
    <row r="59" spans="1:8" s="85" customFormat="1" x14ac:dyDescent="0.25">
      <c r="A59" s="211" t="s">
        <v>51</v>
      </c>
      <c r="B59" s="211"/>
      <c r="C59" s="211"/>
      <c r="D59" s="211"/>
      <c r="E59" s="211"/>
      <c r="F59" s="211"/>
      <c r="G59" s="211"/>
      <c r="H59" s="211"/>
    </row>
    <row r="60" spans="1:8" s="85" customFormat="1" x14ac:dyDescent="0.25">
      <c r="A60" s="211" t="s">
        <v>51</v>
      </c>
      <c r="B60" s="211"/>
      <c r="C60" s="211"/>
      <c r="D60" s="211"/>
      <c r="E60" s="211"/>
      <c r="F60" s="211"/>
      <c r="G60" s="211"/>
      <c r="H60" s="211"/>
    </row>
    <row r="61" spans="1:8" s="85" customFormat="1" x14ac:dyDescent="0.25">
      <c r="A61" s="211" t="s">
        <v>51</v>
      </c>
      <c r="B61" s="211"/>
      <c r="C61" s="211"/>
      <c r="D61" s="211"/>
      <c r="E61" s="211"/>
      <c r="F61" s="211"/>
      <c r="G61" s="211"/>
      <c r="H61" s="211"/>
    </row>
    <row r="62" spans="1:8" s="85" customFormat="1" x14ac:dyDescent="0.25">
      <c r="A62" s="211" t="s">
        <v>51</v>
      </c>
      <c r="B62" s="211"/>
      <c r="C62" s="211"/>
      <c r="D62" s="211"/>
      <c r="E62" s="211"/>
      <c r="F62" s="211"/>
      <c r="G62" s="211"/>
      <c r="H62" s="211"/>
    </row>
    <row r="63" spans="1:8" s="85" customFormat="1" x14ac:dyDescent="0.25">
      <c r="A63" s="211" t="s">
        <v>51</v>
      </c>
      <c r="B63" s="211"/>
      <c r="C63" s="211"/>
      <c r="D63" s="211"/>
      <c r="E63" s="211"/>
      <c r="F63" s="211"/>
      <c r="G63" s="211"/>
      <c r="H63" s="211"/>
    </row>
    <row r="64" spans="1:8" s="85" customFormat="1" x14ac:dyDescent="0.25">
      <c r="A64" s="211" t="s">
        <v>51</v>
      </c>
      <c r="B64" s="211"/>
      <c r="C64" s="211"/>
      <c r="D64" s="211"/>
      <c r="E64" s="211"/>
      <c r="F64" s="211"/>
      <c r="G64" s="211"/>
      <c r="H64" s="211"/>
    </row>
    <row r="65" spans="1:8" s="85" customFormat="1" x14ac:dyDescent="0.25">
      <c r="A65" s="211"/>
      <c r="B65" s="211"/>
      <c r="C65" s="211"/>
      <c r="D65" s="211"/>
      <c r="E65" s="211"/>
      <c r="F65" s="211"/>
      <c r="G65" s="211"/>
      <c r="H65" s="211"/>
    </row>
    <row r="66" spans="1:8" s="85" customFormat="1" x14ac:dyDescent="0.25">
      <c r="A66" s="211"/>
      <c r="B66" s="211"/>
      <c r="C66" s="211"/>
      <c r="D66" s="211"/>
      <c r="E66" s="211"/>
      <c r="F66" s="211"/>
      <c r="G66" s="211"/>
      <c r="H66" s="211"/>
    </row>
    <row r="67" spans="1:8" s="85" customFormat="1" x14ac:dyDescent="0.25">
      <c r="A67" s="211"/>
      <c r="B67" s="211"/>
      <c r="C67" s="211"/>
      <c r="D67" s="211"/>
      <c r="E67" s="211"/>
      <c r="F67" s="211"/>
      <c r="G67" s="211"/>
      <c r="H67" s="211"/>
    </row>
    <row r="68" spans="1:8" s="85" customFormat="1" x14ac:dyDescent="0.25">
      <c r="A68" s="211"/>
      <c r="B68" s="211"/>
      <c r="C68" s="211"/>
      <c r="D68" s="211"/>
      <c r="E68" s="211"/>
      <c r="F68" s="211"/>
      <c r="G68" s="211"/>
      <c r="H68" s="2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B50E-343A-4D3A-8869-3CE188926436}">
  <sheetPr>
    <tabColor rgb="FFFFC000"/>
  </sheetPr>
  <dimension ref="A1:H27"/>
  <sheetViews>
    <sheetView showGridLines="0" workbookViewId="0">
      <selection activeCell="G2" sqref="G2"/>
    </sheetView>
  </sheetViews>
  <sheetFormatPr baseColWidth="10" defaultColWidth="10.7109375" defaultRowHeight="15" x14ac:dyDescent="0.25"/>
  <cols>
    <col min="2" max="3" width="25" style="61" customWidth="1"/>
    <col min="4" max="4" width="36.42578125" style="61" bestFit="1" customWidth="1"/>
    <col min="5" max="5" width="25" style="61" customWidth="1"/>
    <col min="6" max="7" width="28" style="61" bestFit="1" customWidth="1"/>
    <col min="8" max="8" width="16.85546875" bestFit="1" customWidth="1"/>
    <col min="9" max="9" width="20.140625" bestFit="1" customWidth="1"/>
  </cols>
  <sheetData>
    <row r="1" spans="1:8" x14ac:dyDescent="0.25">
      <c r="A1" s="84" t="s">
        <v>52</v>
      </c>
    </row>
    <row r="2" spans="1:8" x14ac:dyDescent="0.25">
      <c r="A2" s="204" t="s">
        <v>53</v>
      </c>
      <c r="B2" s="205" t="s">
        <v>54</v>
      </c>
      <c r="C2" s="205" t="s">
        <v>55</v>
      </c>
      <c r="D2" s="205" t="s">
        <v>56</v>
      </c>
      <c r="E2" s="205" t="s">
        <v>57</v>
      </c>
      <c r="F2" s="205" t="s">
        <v>58</v>
      </c>
      <c r="G2" s="205" t="s">
        <v>59</v>
      </c>
    </row>
    <row r="3" spans="1:8" s="75" customFormat="1" x14ac:dyDescent="0.25">
      <c r="A3" s="206">
        <v>0.33333333333333331</v>
      </c>
      <c r="B3" s="206" t="s">
        <v>60</v>
      </c>
      <c r="C3" s="206" t="s">
        <v>60</v>
      </c>
      <c r="D3" s="206" t="s">
        <v>60</v>
      </c>
      <c r="E3" s="206" t="s">
        <v>60</v>
      </c>
      <c r="F3" s="206" t="s">
        <v>60</v>
      </c>
      <c r="G3" s="206"/>
      <c r="H3" s="92"/>
    </row>
    <row r="4" spans="1:8" s="75" customFormat="1" x14ac:dyDescent="0.25">
      <c r="A4" s="206">
        <v>0.35416666666666669</v>
      </c>
      <c r="B4" s="206"/>
      <c r="C4" s="206"/>
      <c r="D4" s="207"/>
      <c r="E4" s="208"/>
      <c r="F4" s="208"/>
      <c r="G4" s="208"/>
      <c r="H4" s="92"/>
    </row>
    <row r="5" spans="1:8" s="75" customFormat="1" x14ac:dyDescent="0.25">
      <c r="A5" s="206">
        <v>0.375</v>
      </c>
      <c r="B5" s="206"/>
      <c r="C5" s="206"/>
      <c r="D5" s="207"/>
      <c r="E5" s="208"/>
      <c r="F5" s="208"/>
      <c r="G5" s="208"/>
      <c r="H5" s="92"/>
    </row>
    <row r="6" spans="1:8" s="75" customFormat="1" x14ac:dyDescent="0.25">
      <c r="A6" s="206">
        <v>0.39583333333333331</v>
      </c>
      <c r="B6" s="206"/>
      <c r="C6" s="206"/>
      <c r="D6" s="207"/>
      <c r="E6" s="208"/>
      <c r="F6" s="208"/>
      <c r="G6" s="209"/>
      <c r="H6" s="92"/>
    </row>
    <row r="7" spans="1:8" s="75" customFormat="1" x14ac:dyDescent="0.25">
      <c r="A7" s="206">
        <v>0.41666666666666669</v>
      </c>
      <c r="B7" s="206" t="s">
        <v>61</v>
      </c>
      <c r="C7" s="206"/>
      <c r="D7" s="207" t="s">
        <v>62</v>
      </c>
      <c r="E7" s="208"/>
      <c r="F7" s="208"/>
      <c r="G7" s="209"/>
      <c r="H7" s="92"/>
    </row>
    <row r="8" spans="1:8" s="75" customFormat="1" x14ac:dyDescent="0.25">
      <c r="A8" s="206">
        <v>0.4375</v>
      </c>
      <c r="B8" s="206"/>
      <c r="C8" s="206"/>
      <c r="D8" s="207"/>
      <c r="E8" s="208"/>
      <c r="F8" s="208"/>
      <c r="G8" s="208"/>
      <c r="H8" s="92"/>
    </row>
    <row r="9" spans="1:8" s="75" customFormat="1" ht="45" x14ac:dyDescent="0.25">
      <c r="A9" s="206">
        <v>0.45833333333333331</v>
      </c>
      <c r="B9" s="206"/>
      <c r="C9" s="206"/>
      <c r="D9" s="207"/>
      <c r="E9" s="295" t="s">
        <v>63</v>
      </c>
      <c r="F9" s="208"/>
      <c r="G9" s="208"/>
      <c r="H9" s="92"/>
    </row>
    <row r="10" spans="1:8" s="75" customFormat="1" ht="90" x14ac:dyDescent="0.25">
      <c r="A10" s="206">
        <v>0.47916666666666669</v>
      </c>
      <c r="B10" s="206"/>
      <c r="C10" s="206"/>
      <c r="D10" s="207"/>
      <c r="E10" s="295" t="s">
        <v>64</v>
      </c>
      <c r="F10" s="208"/>
      <c r="G10" s="208"/>
      <c r="H10" s="92"/>
    </row>
    <row r="11" spans="1:8" s="75" customFormat="1" x14ac:dyDescent="0.25">
      <c r="A11" s="206">
        <v>0.5</v>
      </c>
      <c r="B11" s="206"/>
      <c r="C11" s="206"/>
      <c r="D11" s="207"/>
      <c r="E11" s="208"/>
      <c r="F11" s="208"/>
      <c r="G11" s="208"/>
      <c r="H11" s="92"/>
    </row>
    <row r="12" spans="1:8" s="75" customFormat="1" x14ac:dyDescent="0.25">
      <c r="A12" s="206">
        <v>0.52083333333333337</v>
      </c>
      <c r="B12" s="206"/>
      <c r="C12" s="206"/>
      <c r="D12" s="207"/>
      <c r="E12" s="208"/>
      <c r="F12" s="208"/>
      <c r="G12" s="208"/>
      <c r="H12" s="92"/>
    </row>
    <row r="13" spans="1:8" s="75" customFormat="1" x14ac:dyDescent="0.25">
      <c r="A13" s="206">
        <v>0.54166666666666663</v>
      </c>
      <c r="B13" s="206"/>
      <c r="C13" s="206"/>
      <c r="D13" s="207"/>
      <c r="E13" s="208"/>
      <c r="F13" s="208"/>
      <c r="G13" s="208"/>
      <c r="H13" s="92"/>
    </row>
    <row r="14" spans="1:8" s="75" customFormat="1" x14ac:dyDescent="0.25">
      <c r="A14" s="206">
        <v>0.5625</v>
      </c>
      <c r="B14" s="206"/>
      <c r="C14" s="206"/>
      <c r="D14" s="207"/>
      <c r="E14" s="208"/>
      <c r="F14" s="208"/>
      <c r="G14" s="208"/>
      <c r="H14" s="92"/>
    </row>
    <row r="15" spans="1:8" s="75" customFormat="1" x14ac:dyDescent="0.25">
      <c r="A15" s="206">
        <v>0.58333333333333337</v>
      </c>
      <c r="B15" s="206"/>
      <c r="C15" s="206"/>
      <c r="D15" s="207"/>
      <c r="E15" s="208"/>
      <c r="F15" s="208"/>
      <c r="G15" s="208"/>
      <c r="H15" s="92"/>
    </row>
    <row r="16" spans="1:8" s="75" customFormat="1" x14ac:dyDescent="0.25">
      <c r="A16" s="206">
        <v>0.625</v>
      </c>
      <c r="B16" s="206"/>
      <c r="C16" s="206"/>
      <c r="D16" s="207"/>
      <c r="E16" s="329" t="s">
        <v>65</v>
      </c>
      <c r="F16" s="208"/>
      <c r="G16" s="208"/>
      <c r="H16" s="92"/>
    </row>
    <row r="17" spans="1:8" s="75" customFormat="1" ht="63.75" x14ac:dyDescent="0.25">
      <c r="A17" s="206">
        <v>0.64583333333333337</v>
      </c>
      <c r="B17" s="206"/>
      <c r="C17" s="206"/>
      <c r="D17" s="210" t="s">
        <v>66</v>
      </c>
      <c r="E17" s="329"/>
      <c r="F17" s="208"/>
      <c r="G17" s="208"/>
      <c r="H17" s="92"/>
    </row>
    <row r="18" spans="1:8" s="75" customFormat="1" x14ac:dyDescent="0.25">
      <c r="A18" s="206">
        <v>0.66666666666666663</v>
      </c>
      <c r="B18" s="206"/>
      <c r="C18" s="206" t="s">
        <v>67</v>
      </c>
      <c r="D18" s="207"/>
      <c r="E18" s="329"/>
      <c r="F18" s="208"/>
      <c r="G18" s="208"/>
      <c r="H18" s="92"/>
    </row>
    <row r="19" spans="1:8" s="75" customFormat="1" x14ac:dyDescent="0.25">
      <c r="A19" s="206">
        <v>0.6875</v>
      </c>
      <c r="B19" s="206"/>
      <c r="C19" s="206"/>
      <c r="D19" s="207"/>
      <c r="E19" s="329"/>
      <c r="F19" s="208"/>
      <c r="G19" s="208"/>
      <c r="H19" s="92"/>
    </row>
    <row r="20" spans="1:8" s="75" customFormat="1" x14ac:dyDescent="0.25">
      <c r="A20" s="206">
        <v>0.70833333333333337</v>
      </c>
      <c r="B20" s="206"/>
      <c r="C20" s="206"/>
      <c r="D20" s="207"/>
      <c r="E20" s="208"/>
      <c r="F20" s="208"/>
      <c r="G20" s="208"/>
      <c r="H20" s="92"/>
    </row>
    <row r="21" spans="1:8" s="75" customFormat="1" x14ac:dyDescent="0.25">
      <c r="A21" s="206">
        <v>0.75</v>
      </c>
      <c r="B21" s="206"/>
      <c r="C21" s="206"/>
      <c r="D21" s="207"/>
      <c r="E21" s="208"/>
      <c r="F21" s="208"/>
      <c r="G21" s="208"/>
      <c r="H21" s="92"/>
    </row>
    <row r="22" spans="1:8" s="75" customFormat="1" x14ac:dyDescent="0.25">
      <c r="A22" s="206">
        <v>0.77083333333333337</v>
      </c>
      <c r="B22" s="206"/>
      <c r="C22" s="206"/>
      <c r="D22" s="207"/>
      <c r="E22" s="208"/>
      <c r="F22" s="208"/>
      <c r="G22" s="208"/>
      <c r="H22" s="92"/>
    </row>
    <row r="23" spans="1:8" s="75" customFormat="1" x14ac:dyDescent="0.25">
      <c r="B23" s="92"/>
      <c r="C23" s="92"/>
      <c r="D23" s="92"/>
      <c r="E23" s="92"/>
      <c r="F23" s="92"/>
      <c r="G23" s="92"/>
      <c r="H23" s="92"/>
    </row>
    <row r="24" spans="1:8" s="75" customFormat="1" x14ac:dyDescent="0.25">
      <c r="B24" s="93"/>
      <c r="C24" s="93"/>
      <c r="D24" s="92"/>
      <c r="E24" s="92"/>
      <c r="F24" s="92"/>
      <c r="G24" s="92"/>
      <c r="H24" s="92"/>
    </row>
    <row r="25" spans="1:8" s="75" customFormat="1" x14ac:dyDescent="0.25">
      <c r="B25" s="93"/>
      <c r="C25" s="93"/>
      <c r="D25" s="92"/>
      <c r="E25" s="92"/>
      <c r="F25" s="92"/>
      <c r="G25" s="92"/>
      <c r="H25" s="92"/>
    </row>
    <row r="26" spans="1:8" s="75" customFormat="1" x14ac:dyDescent="0.25">
      <c r="B26" s="92"/>
      <c r="C26" s="92"/>
      <c r="D26" s="92"/>
      <c r="E26" s="92"/>
      <c r="F26" s="92"/>
      <c r="G26" s="92"/>
      <c r="H26" s="92"/>
    </row>
    <row r="27" spans="1:8" s="75" customFormat="1" x14ac:dyDescent="0.25">
      <c r="B27" s="92"/>
      <c r="C27" s="92"/>
      <c r="D27" s="92"/>
      <c r="E27" s="92"/>
      <c r="F27" s="92"/>
      <c r="G27" s="92"/>
      <c r="H27" s="92"/>
    </row>
  </sheetData>
  <mergeCells count="1">
    <mergeCell ref="E16:E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2CBD-675A-4EFF-8BC0-799872902767}">
  <sheetPr>
    <tabColor rgb="FF92D050"/>
  </sheetPr>
  <dimension ref="A1:F91"/>
  <sheetViews>
    <sheetView showGridLines="0" workbookViewId="0">
      <pane xSplit="2" ySplit="1" topLeftCell="C77" activePane="bottomRight" state="frozen"/>
      <selection pane="topRight"/>
      <selection pane="bottomLeft"/>
      <selection pane="bottomRight" activeCell="C89" sqref="C89"/>
    </sheetView>
  </sheetViews>
  <sheetFormatPr baseColWidth="10" defaultColWidth="38.7109375" defaultRowHeight="15" x14ac:dyDescent="0.25"/>
  <cols>
    <col min="1" max="1" width="6.42578125" customWidth="1"/>
    <col min="2" max="2" width="27.42578125" customWidth="1"/>
    <col min="3" max="3" width="51.42578125" customWidth="1"/>
    <col min="4" max="4" width="11.85546875" customWidth="1"/>
    <col min="5" max="5" width="51.42578125" customWidth="1"/>
    <col min="6" max="6" width="9.140625" bestFit="1" customWidth="1"/>
  </cols>
  <sheetData>
    <row r="1" spans="1:6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15</v>
      </c>
      <c r="F1" s="1" t="s">
        <v>72</v>
      </c>
    </row>
    <row r="2" spans="1:6" x14ac:dyDescent="0.25">
      <c r="A2" s="52">
        <v>1</v>
      </c>
      <c r="B2" s="52" t="s">
        <v>73</v>
      </c>
      <c r="C2" s="53" t="s">
        <v>74</v>
      </c>
      <c r="D2" s="53"/>
      <c r="E2" s="53"/>
      <c r="F2" s="54" t="b">
        <v>0</v>
      </c>
    </row>
    <row r="3" spans="1:6" x14ac:dyDescent="0.25">
      <c r="A3" s="55">
        <f>+A2+1</f>
        <v>2</v>
      </c>
      <c r="B3" s="56" t="s">
        <v>73</v>
      </c>
      <c r="C3" s="55" t="s">
        <v>75</v>
      </c>
      <c r="D3" s="55"/>
      <c r="E3" s="55"/>
      <c r="F3" s="57" t="b">
        <v>0</v>
      </c>
    </row>
    <row r="4" spans="1:6" x14ac:dyDescent="0.25">
      <c r="A4" s="52">
        <f t="shared" ref="A4:A67" si="0">+A3+1</f>
        <v>3</v>
      </c>
      <c r="B4" s="52" t="s">
        <v>73</v>
      </c>
      <c r="C4" s="52" t="s">
        <v>76</v>
      </c>
      <c r="D4" s="52"/>
      <c r="E4" s="52"/>
      <c r="F4" s="54" t="b">
        <v>0</v>
      </c>
    </row>
    <row r="5" spans="1:6" x14ac:dyDescent="0.25">
      <c r="A5" s="55">
        <f t="shared" si="0"/>
        <v>4</v>
      </c>
      <c r="B5" s="56" t="s">
        <v>73</v>
      </c>
      <c r="C5" s="55" t="s">
        <v>77</v>
      </c>
      <c r="D5" s="55"/>
      <c r="E5" s="55"/>
      <c r="F5" s="57" t="b">
        <v>0</v>
      </c>
    </row>
    <row r="6" spans="1:6" x14ac:dyDescent="0.25">
      <c r="A6" s="52">
        <f t="shared" si="0"/>
        <v>5</v>
      </c>
      <c r="B6" s="52" t="s">
        <v>78</v>
      </c>
      <c r="C6" s="52" t="s">
        <v>79</v>
      </c>
      <c r="D6" s="52"/>
      <c r="E6" s="52" t="s">
        <v>80</v>
      </c>
      <c r="F6" s="54" t="b">
        <v>0</v>
      </c>
    </row>
    <row r="7" spans="1:6" x14ac:dyDescent="0.25">
      <c r="A7" s="55">
        <f t="shared" si="0"/>
        <v>6</v>
      </c>
      <c r="B7" s="56" t="s">
        <v>73</v>
      </c>
      <c r="C7" s="55" t="s">
        <v>81</v>
      </c>
      <c r="D7" s="55"/>
      <c r="E7" s="55"/>
      <c r="F7" s="57" t="b">
        <v>0</v>
      </c>
    </row>
    <row r="8" spans="1:6" x14ac:dyDescent="0.25">
      <c r="A8" s="52">
        <f t="shared" si="0"/>
        <v>7</v>
      </c>
      <c r="B8" s="52" t="s">
        <v>73</v>
      </c>
      <c r="C8" s="52" t="s">
        <v>82</v>
      </c>
      <c r="D8" s="52"/>
      <c r="E8" s="52"/>
      <c r="F8" s="54" t="b">
        <v>0</v>
      </c>
    </row>
    <row r="9" spans="1:6" ht="26.25" customHeight="1" x14ac:dyDescent="0.25">
      <c r="A9" s="55">
        <f t="shared" si="0"/>
        <v>8</v>
      </c>
      <c r="B9" s="56" t="s">
        <v>73</v>
      </c>
      <c r="C9" s="55" t="s">
        <v>83</v>
      </c>
      <c r="D9" s="55"/>
      <c r="E9" s="55"/>
      <c r="F9" s="57" t="b">
        <v>0</v>
      </c>
    </row>
    <row r="10" spans="1:6" x14ac:dyDescent="0.25">
      <c r="A10" s="52">
        <f t="shared" si="0"/>
        <v>9</v>
      </c>
      <c r="B10" s="52" t="s">
        <v>84</v>
      </c>
      <c r="C10" s="52" t="s">
        <v>85</v>
      </c>
      <c r="D10" s="52"/>
      <c r="E10" s="52"/>
      <c r="F10" s="54" t="b">
        <v>0</v>
      </c>
    </row>
    <row r="11" spans="1:6" x14ac:dyDescent="0.25">
      <c r="A11" s="55">
        <f t="shared" si="0"/>
        <v>10</v>
      </c>
      <c r="B11" s="55" t="s">
        <v>84</v>
      </c>
      <c r="C11" s="55" t="s">
        <v>86</v>
      </c>
      <c r="D11" s="55"/>
      <c r="E11" s="55"/>
      <c r="F11" s="57" t="b">
        <v>0</v>
      </c>
    </row>
    <row r="12" spans="1:6" x14ac:dyDescent="0.25">
      <c r="A12" s="52">
        <f t="shared" si="0"/>
        <v>11</v>
      </c>
      <c r="B12" s="52" t="s">
        <v>84</v>
      </c>
      <c r="C12" s="52" t="s">
        <v>87</v>
      </c>
      <c r="D12" s="52"/>
      <c r="E12" s="52"/>
      <c r="F12" s="54" t="b">
        <v>0</v>
      </c>
    </row>
    <row r="13" spans="1:6" x14ac:dyDescent="0.25">
      <c r="A13" s="55">
        <f t="shared" si="0"/>
        <v>12</v>
      </c>
      <c r="B13" s="55" t="s">
        <v>88</v>
      </c>
      <c r="C13" s="55" t="s">
        <v>89</v>
      </c>
      <c r="D13" s="55"/>
      <c r="E13" s="55"/>
      <c r="F13" s="57" t="b">
        <v>0</v>
      </c>
    </row>
    <row r="14" spans="1:6" x14ac:dyDescent="0.25">
      <c r="A14" s="52">
        <f t="shared" si="0"/>
        <v>13</v>
      </c>
      <c r="B14" s="52" t="s">
        <v>88</v>
      </c>
      <c r="C14" s="52" t="s">
        <v>90</v>
      </c>
      <c r="D14" s="52"/>
      <c r="E14" s="52"/>
      <c r="F14" s="54" t="b">
        <v>0</v>
      </c>
    </row>
    <row r="15" spans="1:6" x14ac:dyDescent="0.25">
      <c r="A15" s="55">
        <f t="shared" si="0"/>
        <v>14</v>
      </c>
      <c r="B15" s="55" t="s">
        <v>91</v>
      </c>
      <c r="C15" s="55" t="s">
        <v>92</v>
      </c>
      <c r="D15" s="55"/>
      <c r="E15" s="55"/>
      <c r="F15" s="57" t="b">
        <v>0</v>
      </c>
    </row>
    <row r="16" spans="1:6" x14ac:dyDescent="0.25">
      <c r="A16" s="52">
        <f t="shared" si="0"/>
        <v>15</v>
      </c>
      <c r="B16" s="52" t="s">
        <v>91</v>
      </c>
      <c r="C16" s="52" t="s">
        <v>93</v>
      </c>
      <c r="D16" s="52"/>
      <c r="E16" s="52"/>
      <c r="F16" s="54" t="b">
        <v>0</v>
      </c>
    </row>
    <row r="17" spans="1:6" ht="25.5" x14ac:dyDescent="0.25">
      <c r="A17" s="55">
        <f t="shared" si="0"/>
        <v>16</v>
      </c>
      <c r="B17" s="55" t="s">
        <v>94</v>
      </c>
      <c r="C17" s="55" t="s">
        <v>95</v>
      </c>
      <c r="D17" s="55"/>
      <c r="E17" s="55"/>
      <c r="F17" s="57" t="b">
        <v>0</v>
      </c>
    </row>
    <row r="18" spans="1:6" x14ac:dyDescent="0.25">
      <c r="A18" s="52">
        <f t="shared" si="0"/>
        <v>17</v>
      </c>
      <c r="B18" s="52" t="s">
        <v>94</v>
      </c>
      <c r="C18" s="52" t="s">
        <v>96</v>
      </c>
      <c r="D18" s="52"/>
      <c r="E18" s="52"/>
      <c r="F18" s="54" t="b">
        <v>0</v>
      </c>
    </row>
    <row r="19" spans="1:6" x14ac:dyDescent="0.25">
      <c r="A19" s="55">
        <f t="shared" si="0"/>
        <v>18</v>
      </c>
      <c r="B19" s="55" t="s">
        <v>88</v>
      </c>
      <c r="C19" s="55" t="s">
        <v>97</v>
      </c>
      <c r="D19" s="55"/>
      <c r="E19" s="55"/>
      <c r="F19" s="57" t="b">
        <v>0</v>
      </c>
    </row>
    <row r="20" spans="1:6" x14ac:dyDescent="0.25">
      <c r="A20" s="52">
        <f t="shared" si="0"/>
        <v>19</v>
      </c>
      <c r="B20" s="52" t="s">
        <v>98</v>
      </c>
      <c r="C20" s="52" t="s">
        <v>99</v>
      </c>
      <c r="D20" s="52"/>
      <c r="E20" s="52"/>
      <c r="F20" s="54" t="b">
        <v>0</v>
      </c>
    </row>
    <row r="21" spans="1:6" ht="25.5" x14ac:dyDescent="0.25">
      <c r="A21" s="55">
        <f t="shared" si="0"/>
        <v>20</v>
      </c>
      <c r="B21" s="55" t="s">
        <v>88</v>
      </c>
      <c r="C21" s="55" t="s">
        <v>100</v>
      </c>
      <c r="D21" s="55"/>
      <c r="E21" s="55"/>
      <c r="F21" s="57" t="b">
        <v>0</v>
      </c>
    </row>
    <row r="22" spans="1:6" ht="25.5" x14ac:dyDescent="0.25">
      <c r="A22" s="52">
        <f t="shared" si="0"/>
        <v>21</v>
      </c>
      <c r="B22" s="52" t="s">
        <v>101</v>
      </c>
      <c r="C22" s="52" t="s">
        <v>102</v>
      </c>
      <c r="D22" s="52"/>
      <c r="E22" s="52"/>
      <c r="F22" s="54" t="b">
        <v>0</v>
      </c>
    </row>
    <row r="23" spans="1:6" x14ac:dyDescent="0.25">
      <c r="A23" s="55">
        <f t="shared" si="0"/>
        <v>22</v>
      </c>
      <c r="B23" s="55" t="s">
        <v>103</v>
      </c>
      <c r="C23" s="55" t="s">
        <v>104</v>
      </c>
      <c r="D23" s="55"/>
      <c r="E23" s="55"/>
      <c r="F23" s="57" t="b">
        <v>0</v>
      </c>
    </row>
    <row r="24" spans="1:6" x14ac:dyDescent="0.25">
      <c r="A24" s="52">
        <f t="shared" si="0"/>
        <v>23</v>
      </c>
      <c r="B24" s="52" t="s">
        <v>103</v>
      </c>
      <c r="C24" s="52" t="s">
        <v>105</v>
      </c>
      <c r="D24" s="52"/>
      <c r="E24" s="52"/>
      <c r="F24" s="54" t="b">
        <v>0</v>
      </c>
    </row>
    <row r="25" spans="1:6" x14ac:dyDescent="0.25">
      <c r="A25" s="55">
        <f t="shared" si="0"/>
        <v>24</v>
      </c>
      <c r="B25" s="52" t="s">
        <v>106</v>
      </c>
      <c r="C25" s="55" t="s">
        <v>107</v>
      </c>
      <c r="D25" s="55"/>
      <c r="E25" s="55"/>
      <c r="F25" s="57" t="b">
        <v>0</v>
      </c>
    </row>
    <row r="26" spans="1:6" ht="38.25" x14ac:dyDescent="0.25">
      <c r="A26" s="52">
        <f t="shared" si="0"/>
        <v>25</v>
      </c>
      <c r="B26" s="52" t="s">
        <v>108</v>
      </c>
      <c r="C26" s="52" t="s">
        <v>109</v>
      </c>
      <c r="D26" s="52"/>
      <c r="E26" s="52"/>
      <c r="F26" s="54" t="b">
        <v>0</v>
      </c>
    </row>
    <row r="27" spans="1:6" x14ac:dyDescent="0.25">
      <c r="A27" s="55">
        <f t="shared" si="0"/>
        <v>26</v>
      </c>
      <c r="B27" s="55" t="s">
        <v>110</v>
      </c>
      <c r="C27" s="55" t="s">
        <v>111</v>
      </c>
      <c r="D27" s="55"/>
      <c r="E27" s="55"/>
      <c r="F27" s="57" t="b">
        <v>0</v>
      </c>
    </row>
    <row r="28" spans="1:6" x14ac:dyDescent="0.25">
      <c r="A28" s="52">
        <f t="shared" si="0"/>
        <v>27</v>
      </c>
      <c r="B28" s="52" t="s">
        <v>112</v>
      </c>
      <c r="C28" s="52" t="s">
        <v>113</v>
      </c>
      <c r="D28" s="52"/>
      <c r="E28" s="52"/>
      <c r="F28" s="54" t="b">
        <v>0</v>
      </c>
    </row>
    <row r="29" spans="1:6" ht="25.5" x14ac:dyDescent="0.25">
      <c r="A29" s="55">
        <f t="shared" si="0"/>
        <v>28</v>
      </c>
      <c r="B29" s="55" t="s">
        <v>114</v>
      </c>
      <c r="C29" s="55" t="s">
        <v>115</v>
      </c>
      <c r="D29" s="55"/>
      <c r="E29" s="55"/>
      <c r="F29" s="57" t="b">
        <v>0</v>
      </c>
    </row>
    <row r="30" spans="1:6" ht="25.5" x14ac:dyDescent="0.25">
      <c r="A30" s="52">
        <f t="shared" si="0"/>
        <v>29</v>
      </c>
      <c r="B30" s="52" t="s">
        <v>116</v>
      </c>
      <c r="C30" s="52" t="s">
        <v>117</v>
      </c>
      <c r="D30" s="52"/>
      <c r="E30" s="52"/>
      <c r="F30" s="54" t="b">
        <v>0</v>
      </c>
    </row>
    <row r="31" spans="1:6" x14ac:dyDescent="0.25">
      <c r="A31" s="55">
        <f t="shared" si="0"/>
        <v>30</v>
      </c>
      <c r="B31" s="55" t="s">
        <v>101</v>
      </c>
      <c r="C31" s="55" t="s">
        <v>118</v>
      </c>
      <c r="D31" s="55"/>
      <c r="E31" s="55"/>
      <c r="F31" s="57" t="b">
        <v>0</v>
      </c>
    </row>
    <row r="32" spans="1:6" x14ac:dyDescent="0.25">
      <c r="A32" s="52">
        <f t="shared" si="0"/>
        <v>31</v>
      </c>
      <c r="B32" s="52" t="s">
        <v>119</v>
      </c>
      <c r="C32" s="52" t="s">
        <v>120</v>
      </c>
      <c r="D32" s="52"/>
      <c r="E32" s="52"/>
      <c r="F32" s="54"/>
    </row>
    <row r="33" spans="1:6" x14ac:dyDescent="0.25">
      <c r="A33" s="55">
        <f t="shared" si="0"/>
        <v>32</v>
      </c>
      <c r="B33" s="55" t="s">
        <v>119</v>
      </c>
      <c r="C33" s="55" t="s">
        <v>121</v>
      </c>
      <c r="D33" s="55"/>
      <c r="E33" s="55"/>
      <c r="F33" s="57"/>
    </row>
    <row r="34" spans="1:6" x14ac:dyDescent="0.25">
      <c r="A34" s="52">
        <f t="shared" si="0"/>
        <v>33</v>
      </c>
      <c r="B34" s="52" t="s">
        <v>119</v>
      </c>
      <c r="C34" s="52" t="s">
        <v>122</v>
      </c>
      <c r="D34" s="52"/>
      <c r="E34" s="52"/>
      <c r="F34" s="54"/>
    </row>
    <row r="35" spans="1:6" x14ac:dyDescent="0.25">
      <c r="A35" s="55">
        <f t="shared" si="0"/>
        <v>34</v>
      </c>
      <c r="B35" s="55" t="s">
        <v>116</v>
      </c>
      <c r="C35" s="55" t="s">
        <v>123</v>
      </c>
      <c r="D35" s="55"/>
      <c r="E35" s="55"/>
      <c r="F35" s="57"/>
    </row>
    <row r="36" spans="1:6" x14ac:dyDescent="0.25">
      <c r="A36" s="52">
        <f t="shared" si="0"/>
        <v>35</v>
      </c>
      <c r="B36" s="52" t="s">
        <v>119</v>
      </c>
      <c r="C36" s="52" t="s">
        <v>124</v>
      </c>
      <c r="D36" s="52"/>
      <c r="E36" s="52"/>
      <c r="F36" s="54"/>
    </row>
    <row r="37" spans="1:6" x14ac:dyDescent="0.25">
      <c r="A37" s="55">
        <f t="shared" si="0"/>
        <v>36</v>
      </c>
      <c r="B37" s="55" t="s">
        <v>119</v>
      </c>
      <c r="C37" s="55" t="s">
        <v>125</v>
      </c>
      <c r="D37" s="55"/>
      <c r="E37" s="55"/>
      <c r="F37" s="57"/>
    </row>
    <row r="38" spans="1:6" x14ac:dyDescent="0.25">
      <c r="A38" s="52">
        <f t="shared" si="0"/>
        <v>37</v>
      </c>
      <c r="B38" s="52" t="s">
        <v>119</v>
      </c>
      <c r="C38" s="52" t="s">
        <v>126</v>
      </c>
      <c r="D38" s="52"/>
      <c r="E38" s="52"/>
      <c r="F38" s="54"/>
    </row>
    <row r="39" spans="1:6" x14ac:dyDescent="0.25">
      <c r="A39" s="55">
        <f t="shared" si="0"/>
        <v>38</v>
      </c>
      <c r="B39" s="55" t="s">
        <v>119</v>
      </c>
      <c r="C39" s="55" t="s">
        <v>127</v>
      </c>
      <c r="D39" s="55"/>
      <c r="E39" s="55"/>
      <c r="F39" s="57"/>
    </row>
    <row r="40" spans="1:6" x14ac:dyDescent="0.25">
      <c r="A40" s="52">
        <f t="shared" si="0"/>
        <v>39</v>
      </c>
      <c r="B40" s="52" t="s">
        <v>119</v>
      </c>
      <c r="C40" s="52" t="s">
        <v>128</v>
      </c>
      <c r="D40" s="52"/>
      <c r="E40" s="52"/>
      <c r="F40" s="54"/>
    </row>
    <row r="41" spans="1:6" x14ac:dyDescent="0.25">
      <c r="A41" s="55">
        <f t="shared" si="0"/>
        <v>40</v>
      </c>
      <c r="B41" s="55" t="s">
        <v>84</v>
      </c>
      <c r="C41" s="55" t="s">
        <v>129</v>
      </c>
      <c r="D41" s="55"/>
      <c r="E41" s="55"/>
      <c r="F41" s="57"/>
    </row>
    <row r="42" spans="1:6" ht="25.5" x14ac:dyDescent="0.25">
      <c r="A42" s="52">
        <f t="shared" si="0"/>
        <v>41</v>
      </c>
      <c r="B42" s="52" t="s">
        <v>88</v>
      </c>
      <c r="C42" s="52" t="s">
        <v>130</v>
      </c>
      <c r="D42" s="52"/>
      <c r="E42" s="52"/>
      <c r="F42" s="54"/>
    </row>
    <row r="43" spans="1:6" x14ac:dyDescent="0.25">
      <c r="A43" s="55">
        <f t="shared" si="0"/>
        <v>42</v>
      </c>
      <c r="B43" s="55" t="s">
        <v>131</v>
      </c>
      <c r="C43" s="55" t="s">
        <v>132</v>
      </c>
      <c r="D43" s="55"/>
      <c r="E43" s="55"/>
      <c r="F43" s="57"/>
    </row>
    <row r="44" spans="1:6" ht="38.25" x14ac:dyDescent="0.25">
      <c r="A44" s="52">
        <f t="shared" si="0"/>
        <v>43</v>
      </c>
      <c r="B44" s="52" t="s">
        <v>133</v>
      </c>
      <c r="C44" s="52" t="s">
        <v>134</v>
      </c>
      <c r="D44" s="52"/>
      <c r="E44" s="52" t="s">
        <v>135</v>
      </c>
      <c r="F44" s="54"/>
    </row>
    <row r="45" spans="1:6" x14ac:dyDescent="0.25">
      <c r="A45" s="55">
        <f t="shared" si="0"/>
        <v>44</v>
      </c>
      <c r="B45" s="55" t="s">
        <v>133</v>
      </c>
      <c r="C45" s="55" t="s">
        <v>136</v>
      </c>
      <c r="D45" s="55"/>
      <c r="E45" s="55"/>
      <c r="F45" s="57"/>
    </row>
    <row r="46" spans="1:6" ht="38.25" x14ac:dyDescent="0.25">
      <c r="A46" s="52">
        <f t="shared" si="0"/>
        <v>45</v>
      </c>
      <c r="B46" s="52" t="s">
        <v>137</v>
      </c>
      <c r="C46" s="52" t="s">
        <v>138</v>
      </c>
      <c r="D46" s="52"/>
      <c r="E46" s="52"/>
      <c r="F46" s="54"/>
    </row>
    <row r="47" spans="1:6" x14ac:dyDescent="0.25">
      <c r="A47" s="55">
        <f t="shared" si="0"/>
        <v>46</v>
      </c>
      <c r="B47" s="55" t="s">
        <v>139</v>
      </c>
      <c r="C47" s="55" t="s">
        <v>140</v>
      </c>
      <c r="D47" s="55"/>
      <c r="E47" s="55"/>
      <c r="F47" s="57"/>
    </row>
    <row r="48" spans="1:6" ht="25.5" x14ac:dyDescent="0.25">
      <c r="A48" s="52">
        <f t="shared" si="0"/>
        <v>47</v>
      </c>
      <c r="B48" s="52" t="s">
        <v>141</v>
      </c>
      <c r="C48" s="52" t="s">
        <v>142</v>
      </c>
      <c r="D48" s="52"/>
      <c r="E48" s="52"/>
      <c r="F48" s="54"/>
    </row>
    <row r="49" spans="1:6" x14ac:dyDescent="0.25">
      <c r="A49" s="55">
        <f t="shared" si="0"/>
        <v>48</v>
      </c>
      <c r="B49" s="55" t="s">
        <v>143</v>
      </c>
      <c r="C49" s="55" t="s">
        <v>144</v>
      </c>
      <c r="D49" s="55"/>
      <c r="E49" s="55"/>
      <c r="F49" s="57"/>
    </row>
    <row r="50" spans="1:6" x14ac:dyDescent="0.25">
      <c r="A50" s="52">
        <f t="shared" si="0"/>
        <v>49</v>
      </c>
      <c r="B50" s="52" t="s">
        <v>84</v>
      </c>
      <c r="C50" s="52" t="s">
        <v>145</v>
      </c>
      <c r="D50" s="52"/>
      <c r="E50" s="52"/>
      <c r="F50" s="54"/>
    </row>
    <row r="51" spans="1:6" x14ac:dyDescent="0.25">
      <c r="A51" s="52">
        <f t="shared" si="0"/>
        <v>50</v>
      </c>
      <c r="B51" s="55" t="s">
        <v>84</v>
      </c>
      <c r="C51" s="55" t="s">
        <v>146</v>
      </c>
      <c r="D51" s="55"/>
      <c r="E51" s="55"/>
      <c r="F51" s="57"/>
    </row>
    <row r="52" spans="1:6" x14ac:dyDescent="0.25">
      <c r="A52" s="52">
        <f t="shared" si="0"/>
        <v>51</v>
      </c>
      <c r="B52" s="52" t="s">
        <v>143</v>
      </c>
      <c r="C52" s="52" t="s">
        <v>147</v>
      </c>
      <c r="D52" s="52"/>
      <c r="E52" s="52"/>
      <c r="F52" s="54"/>
    </row>
    <row r="53" spans="1:6" x14ac:dyDescent="0.25">
      <c r="A53" s="52">
        <f t="shared" si="0"/>
        <v>52</v>
      </c>
      <c r="B53" s="55" t="s">
        <v>148</v>
      </c>
      <c r="C53" s="55" t="s">
        <v>149</v>
      </c>
      <c r="D53" s="55"/>
      <c r="E53" s="55"/>
      <c r="F53" s="57"/>
    </row>
    <row r="54" spans="1:6" x14ac:dyDescent="0.25">
      <c r="A54" s="52">
        <f t="shared" si="0"/>
        <v>53</v>
      </c>
      <c r="B54" s="52" t="s">
        <v>133</v>
      </c>
      <c r="C54" s="52" t="s">
        <v>150</v>
      </c>
      <c r="D54" s="52"/>
      <c r="E54" s="52"/>
      <c r="F54" s="54"/>
    </row>
    <row r="55" spans="1:6" ht="25.5" x14ac:dyDescent="0.25">
      <c r="A55" s="55">
        <f t="shared" si="0"/>
        <v>54</v>
      </c>
      <c r="B55" s="55" t="s">
        <v>151</v>
      </c>
      <c r="C55" s="55" t="s">
        <v>152</v>
      </c>
      <c r="D55" s="55"/>
      <c r="E55" s="55"/>
      <c r="F55" s="57"/>
    </row>
    <row r="56" spans="1:6" ht="25.5" x14ac:dyDescent="0.25">
      <c r="A56" s="52">
        <f t="shared" si="0"/>
        <v>55</v>
      </c>
      <c r="B56" s="52" t="s">
        <v>153</v>
      </c>
      <c r="C56" s="52" t="s">
        <v>154</v>
      </c>
      <c r="D56" s="52"/>
      <c r="E56" s="52"/>
      <c r="F56" s="54"/>
    </row>
    <row r="57" spans="1:6" x14ac:dyDescent="0.25">
      <c r="A57" s="55">
        <f t="shared" si="0"/>
        <v>56</v>
      </c>
      <c r="B57" s="55" t="s">
        <v>155</v>
      </c>
      <c r="C57" s="55" t="s">
        <v>156</v>
      </c>
      <c r="D57" s="55"/>
      <c r="E57" s="55"/>
      <c r="F57" s="57"/>
    </row>
    <row r="58" spans="1:6" ht="38.25" x14ac:dyDescent="0.25">
      <c r="A58" s="52">
        <f t="shared" si="0"/>
        <v>57</v>
      </c>
      <c r="B58" s="52" t="s">
        <v>157</v>
      </c>
      <c r="C58" s="52" t="s">
        <v>158</v>
      </c>
      <c r="D58" s="52"/>
      <c r="E58" s="52"/>
      <c r="F58" s="54"/>
    </row>
    <row r="59" spans="1:6" x14ac:dyDescent="0.25">
      <c r="A59" s="55">
        <f t="shared" si="0"/>
        <v>58</v>
      </c>
      <c r="B59" s="55" t="s">
        <v>78</v>
      </c>
      <c r="C59" s="55" t="s">
        <v>159</v>
      </c>
      <c r="D59" s="55"/>
      <c r="E59" s="55"/>
      <c r="F59" s="57"/>
    </row>
    <row r="60" spans="1:6" x14ac:dyDescent="0.25">
      <c r="A60" s="52">
        <f t="shared" si="0"/>
        <v>59</v>
      </c>
      <c r="B60" s="52" t="s">
        <v>78</v>
      </c>
      <c r="C60" s="52" t="s">
        <v>160</v>
      </c>
      <c r="D60" s="52"/>
      <c r="E60" s="52"/>
      <c r="F60" s="54"/>
    </row>
    <row r="61" spans="1:6" x14ac:dyDescent="0.25">
      <c r="A61" s="55">
        <f t="shared" si="0"/>
        <v>60</v>
      </c>
      <c r="B61" s="55" t="s">
        <v>161</v>
      </c>
      <c r="C61" s="55" t="s">
        <v>162</v>
      </c>
      <c r="D61" s="55"/>
      <c r="E61" s="55"/>
      <c r="F61" s="57"/>
    </row>
    <row r="62" spans="1:6" x14ac:dyDescent="0.25">
      <c r="A62" s="52">
        <f t="shared" si="0"/>
        <v>61</v>
      </c>
      <c r="B62" s="52" t="s">
        <v>161</v>
      </c>
      <c r="C62" s="52" t="s">
        <v>163</v>
      </c>
      <c r="D62" s="52"/>
      <c r="E62" s="52"/>
      <c r="F62" s="54"/>
    </row>
    <row r="63" spans="1:6" ht="25.5" x14ac:dyDescent="0.25">
      <c r="A63" s="55">
        <f t="shared" si="0"/>
        <v>62</v>
      </c>
      <c r="B63" s="55" t="s">
        <v>164</v>
      </c>
      <c r="C63" s="55" t="s">
        <v>165</v>
      </c>
      <c r="D63" s="55"/>
      <c r="E63" s="55"/>
      <c r="F63" s="57"/>
    </row>
    <row r="64" spans="1:6" x14ac:dyDescent="0.25">
      <c r="A64" s="52">
        <f t="shared" si="0"/>
        <v>63</v>
      </c>
      <c r="B64" s="52" t="s">
        <v>88</v>
      </c>
      <c r="C64" s="52" t="s">
        <v>166</v>
      </c>
      <c r="D64" s="52"/>
      <c r="E64" s="52"/>
      <c r="F64" s="54"/>
    </row>
    <row r="65" spans="1:6" x14ac:dyDescent="0.25">
      <c r="A65" s="55">
        <f t="shared" si="0"/>
        <v>64</v>
      </c>
      <c r="B65" s="55" t="s">
        <v>88</v>
      </c>
      <c r="C65" s="55" t="s">
        <v>167</v>
      </c>
      <c r="D65" s="55"/>
      <c r="E65" s="55"/>
      <c r="F65" s="57"/>
    </row>
    <row r="66" spans="1:6" ht="25.5" x14ac:dyDescent="0.25">
      <c r="A66" s="52">
        <f t="shared" si="0"/>
        <v>65</v>
      </c>
      <c r="B66" s="52" t="s">
        <v>88</v>
      </c>
      <c r="C66" s="52" t="s">
        <v>168</v>
      </c>
      <c r="D66" s="52"/>
      <c r="E66" s="52"/>
      <c r="F66" s="54"/>
    </row>
    <row r="67" spans="1:6" x14ac:dyDescent="0.25">
      <c r="A67" s="55">
        <f t="shared" si="0"/>
        <v>66</v>
      </c>
      <c r="B67" s="55" t="s">
        <v>88</v>
      </c>
      <c r="C67" s="55" t="s">
        <v>169</v>
      </c>
      <c r="D67" s="55"/>
      <c r="E67" s="55"/>
      <c r="F67" s="57"/>
    </row>
    <row r="68" spans="1:6" x14ac:dyDescent="0.25">
      <c r="A68" s="52">
        <f t="shared" ref="A68:A82" si="1">+A67+1</f>
        <v>67</v>
      </c>
      <c r="B68" s="52" t="s">
        <v>116</v>
      </c>
      <c r="C68" s="52" t="s">
        <v>170</v>
      </c>
      <c r="D68" s="52"/>
      <c r="E68" s="52"/>
      <c r="F68" s="54"/>
    </row>
    <row r="69" spans="1:6" x14ac:dyDescent="0.25">
      <c r="A69" s="55">
        <f t="shared" si="1"/>
        <v>68</v>
      </c>
      <c r="B69" s="55" t="s">
        <v>171</v>
      </c>
      <c r="C69" s="55" t="s">
        <v>172</v>
      </c>
      <c r="D69" s="55"/>
      <c r="E69" s="55"/>
      <c r="F69" s="57"/>
    </row>
    <row r="70" spans="1:6" x14ac:dyDescent="0.25">
      <c r="A70" s="52">
        <f t="shared" si="1"/>
        <v>69</v>
      </c>
      <c r="B70" s="52" t="s">
        <v>133</v>
      </c>
      <c r="C70" s="52" t="s">
        <v>173</v>
      </c>
      <c r="D70" s="52"/>
      <c r="E70" s="52"/>
      <c r="F70" s="54"/>
    </row>
    <row r="71" spans="1:6" x14ac:dyDescent="0.25">
      <c r="A71" s="55">
        <f t="shared" si="1"/>
        <v>70</v>
      </c>
      <c r="B71" s="55" t="s">
        <v>98</v>
      </c>
      <c r="C71" s="55" t="s">
        <v>174</v>
      </c>
      <c r="D71" s="55"/>
      <c r="E71" s="55"/>
      <c r="F71" s="57"/>
    </row>
    <row r="72" spans="1:6" ht="51" x14ac:dyDescent="0.25">
      <c r="A72" s="52">
        <f t="shared" si="1"/>
        <v>71</v>
      </c>
      <c r="B72" s="52" t="s">
        <v>119</v>
      </c>
      <c r="C72" s="52" t="s">
        <v>175</v>
      </c>
      <c r="D72" s="52"/>
      <c r="E72" s="52" t="s">
        <v>176</v>
      </c>
      <c r="F72" s="54"/>
    </row>
    <row r="73" spans="1:6" x14ac:dyDescent="0.25">
      <c r="A73" s="55">
        <f t="shared" si="1"/>
        <v>72</v>
      </c>
      <c r="B73" s="55" t="s">
        <v>88</v>
      </c>
      <c r="C73" s="55" t="s">
        <v>177</v>
      </c>
      <c r="D73" s="55"/>
      <c r="E73" s="55"/>
      <c r="F73" s="57"/>
    </row>
    <row r="74" spans="1:6" x14ac:dyDescent="0.25">
      <c r="A74" s="52">
        <f t="shared" si="1"/>
        <v>73</v>
      </c>
      <c r="B74" s="52" t="s">
        <v>178</v>
      </c>
      <c r="C74" s="52" t="s">
        <v>179</v>
      </c>
      <c r="D74" s="52"/>
      <c r="E74" s="52"/>
      <c r="F74" s="54"/>
    </row>
    <row r="75" spans="1:6" ht="25.5" x14ac:dyDescent="0.25">
      <c r="A75" s="55">
        <f t="shared" si="1"/>
        <v>74</v>
      </c>
      <c r="B75" s="55" t="s">
        <v>180</v>
      </c>
      <c r="C75" s="55" t="s">
        <v>181</v>
      </c>
      <c r="D75" s="55"/>
      <c r="E75" s="55"/>
      <c r="F75" s="57"/>
    </row>
    <row r="76" spans="1:6" x14ac:dyDescent="0.25">
      <c r="A76" s="52">
        <f t="shared" si="1"/>
        <v>75</v>
      </c>
      <c r="B76" s="52" t="s">
        <v>180</v>
      </c>
      <c r="C76" s="52"/>
      <c r="D76" s="52"/>
      <c r="E76" s="52"/>
      <c r="F76" s="54"/>
    </row>
    <row r="77" spans="1:6" x14ac:dyDescent="0.25">
      <c r="A77" s="55">
        <f t="shared" si="1"/>
        <v>76</v>
      </c>
      <c r="B77" s="55" t="s">
        <v>182</v>
      </c>
      <c r="C77" s="55" t="s">
        <v>183</v>
      </c>
      <c r="D77" s="55"/>
      <c r="E77" s="55"/>
      <c r="F77" s="57"/>
    </row>
    <row r="78" spans="1:6" x14ac:dyDescent="0.25">
      <c r="A78" s="52">
        <f t="shared" si="1"/>
        <v>77</v>
      </c>
      <c r="B78" s="52" t="s">
        <v>184</v>
      </c>
      <c r="C78" s="52" t="s">
        <v>185</v>
      </c>
      <c r="D78" s="52"/>
      <c r="E78" s="52"/>
      <c r="F78" s="54"/>
    </row>
    <row r="79" spans="1:6" x14ac:dyDescent="0.25">
      <c r="A79" s="55">
        <f t="shared" si="1"/>
        <v>78</v>
      </c>
      <c r="B79" s="55" t="s">
        <v>161</v>
      </c>
      <c r="C79" s="55" t="s">
        <v>186</v>
      </c>
      <c r="D79" s="55"/>
      <c r="E79" s="55"/>
      <c r="F79" s="57"/>
    </row>
    <row r="80" spans="1:6" x14ac:dyDescent="0.25">
      <c r="A80" s="52">
        <f t="shared" si="1"/>
        <v>79</v>
      </c>
      <c r="B80" s="52" t="s">
        <v>187</v>
      </c>
      <c r="C80" s="52" t="s">
        <v>188</v>
      </c>
      <c r="D80" s="52"/>
      <c r="E80" s="52"/>
      <c r="F80" s="54"/>
    </row>
    <row r="81" spans="1:6" ht="25.5" x14ac:dyDescent="0.25">
      <c r="A81" s="55">
        <f t="shared" si="1"/>
        <v>80</v>
      </c>
      <c r="B81" s="55" t="s">
        <v>84</v>
      </c>
      <c r="C81" s="55" t="s">
        <v>189</v>
      </c>
      <c r="D81" s="55"/>
      <c r="E81" s="55"/>
      <c r="F81" s="57"/>
    </row>
    <row r="82" spans="1:6" x14ac:dyDescent="0.25">
      <c r="A82" s="52">
        <f t="shared" si="1"/>
        <v>81</v>
      </c>
      <c r="B82" s="52" t="s">
        <v>88</v>
      </c>
      <c r="C82" s="52" t="s">
        <v>190</v>
      </c>
      <c r="D82" s="52"/>
      <c r="E82" s="52"/>
      <c r="F82" s="54"/>
    </row>
    <row r="83" spans="1:6" x14ac:dyDescent="0.25">
      <c r="A83" s="55">
        <f t="shared" ref="A83:A88" si="2">+A82+1</f>
        <v>82</v>
      </c>
      <c r="B83" s="55" t="s">
        <v>108</v>
      </c>
      <c r="C83" s="55" t="s">
        <v>191</v>
      </c>
      <c r="D83" s="55"/>
      <c r="E83" s="55"/>
      <c r="F83" s="57"/>
    </row>
    <row r="84" spans="1:6" x14ac:dyDescent="0.25">
      <c r="A84" s="52">
        <f t="shared" si="2"/>
        <v>83</v>
      </c>
      <c r="B84" s="52" t="s">
        <v>78</v>
      </c>
      <c r="C84" s="52" t="s">
        <v>192</v>
      </c>
      <c r="D84" s="52"/>
      <c r="E84" s="52" t="s">
        <v>193</v>
      </c>
      <c r="F84" s="54"/>
    </row>
    <row r="85" spans="1:6" x14ac:dyDescent="0.25">
      <c r="A85" s="55">
        <f t="shared" si="2"/>
        <v>84</v>
      </c>
      <c r="B85" s="55" t="s">
        <v>88</v>
      </c>
      <c r="C85" s="55" t="s">
        <v>194</v>
      </c>
      <c r="D85" s="55"/>
      <c r="E85" s="55" t="s">
        <v>195</v>
      </c>
      <c r="F85" s="57"/>
    </row>
    <row r="86" spans="1:6" ht="25.5" x14ac:dyDescent="0.25">
      <c r="A86" s="52">
        <f t="shared" si="2"/>
        <v>85</v>
      </c>
      <c r="B86" s="52" t="s">
        <v>196</v>
      </c>
      <c r="C86" s="52" t="s">
        <v>197</v>
      </c>
      <c r="D86" s="52"/>
      <c r="E86" s="52"/>
      <c r="F86" s="54"/>
    </row>
    <row r="87" spans="1:6" x14ac:dyDescent="0.25">
      <c r="A87" s="55">
        <f t="shared" si="2"/>
        <v>86</v>
      </c>
      <c r="B87" s="55" t="s">
        <v>198</v>
      </c>
      <c r="C87" s="55"/>
      <c r="D87" s="55"/>
      <c r="E87" s="55"/>
      <c r="F87" s="57"/>
    </row>
    <row r="88" spans="1:6" x14ac:dyDescent="0.25">
      <c r="A88" s="52">
        <f t="shared" si="2"/>
        <v>87</v>
      </c>
      <c r="B88" s="52" t="s">
        <v>1168</v>
      </c>
      <c r="C88" s="52" t="s">
        <v>1169</v>
      </c>
      <c r="D88" s="52"/>
      <c r="E88" s="52"/>
      <c r="F88" s="54"/>
    </row>
    <row r="89" spans="1:6" x14ac:dyDescent="0.25">
      <c r="A89" s="55"/>
      <c r="B89" s="55"/>
      <c r="C89" s="55"/>
      <c r="D89" s="55"/>
      <c r="E89" s="55"/>
      <c r="F89" s="57"/>
    </row>
    <row r="90" spans="1:6" x14ac:dyDescent="0.25">
      <c r="A90" s="52"/>
      <c r="B90" s="52"/>
      <c r="C90" s="52"/>
      <c r="D90" s="52"/>
      <c r="E90" s="52"/>
      <c r="F90" s="54"/>
    </row>
    <row r="91" spans="1:6" x14ac:dyDescent="0.25">
      <c r="A91" s="55"/>
      <c r="B91" s="55"/>
      <c r="C91" s="55"/>
      <c r="D91" s="55"/>
      <c r="E91" s="55"/>
      <c r="F91" s="57"/>
    </row>
  </sheetData>
  <autoFilter ref="A1:F82" xr:uid="{10322CBD-675A-4EFF-8BC0-79987290276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AA5B-754A-483B-B1F1-8B1FF2E7CCAE}">
  <sheetPr>
    <tabColor rgb="FF92D050"/>
  </sheetPr>
  <dimension ref="A1:E9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38.7109375" defaultRowHeight="15" x14ac:dyDescent="0.25"/>
  <cols>
    <col min="1" max="1" width="6.42578125" customWidth="1"/>
    <col min="2" max="2" width="27.42578125" customWidth="1"/>
    <col min="3" max="3" width="51.42578125" customWidth="1"/>
    <col min="4" max="4" width="11.85546875" customWidth="1"/>
    <col min="5" max="5" width="51.42578125" customWidth="1"/>
  </cols>
  <sheetData>
    <row r="1" spans="1:5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15</v>
      </c>
    </row>
    <row r="2" spans="1:5" x14ac:dyDescent="0.25">
      <c r="A2" s="52"/>
      <c r="B2" s="52"/>
      <c r="C2" s="53"/>
      <c r="D2" s="53"/>
      <c r="E2" s="53"/>
    </row>
    <row r="3" spans="1:5" x14ac:dyDescent="0.25">
      <c r="A3" s="55"/>
      <c r="B3" s="56"/>
      <c r="C3" s="55"/>
      <c r="D3" s="55"/>
      <c r="E3" s="55"/>
    </row>
    <row r="4" spans="1:5" x14ac:dyDescent="0.25">
      <c r="A4" s="52"/>
      <c r="B4" s="52"/>
      <c r="C4" s="52"/>
      <c r="D4" s="52"/>
      <c r="E4" s="52"/>
    </row>
    <row r="5" spans="1:5" x14ac:dyDescent="0.25">
      <c r="A5" s="55"/>
      <c r="B5" s="56"/>
      <c r="C5" s="55"/>
      <c r="D5" s="55"/>
      <c r="E5" s="55"/>
    </row>
    <row r="6" spans="1:5" x14ac:dyDescent="0.25">
      <c r="A6" s="52"/>
      <c r="B6" s="52"/>
      <c r="C6" s="52"/>
      <c r="D6" s="52"/>
      <c r="E6" s="52"/>
    </row>
    <row r="7" spans="1:5" x14ac:dyDescent="0.25">
      <c r="A7" s="55"/>
      <c r="B7" s="56"/>
      <c r="C7" s="55"/>
      <c r="D7" s="55"/>
      <c r="E7" s="55"/>
    </row>
    <row r="8" spans="1:5" x14ac:dyDescent="0.25">
      <c r="A8" s="52"/>
      <c r="B8" s="52"/>
      <c r="C8" s="52"/>
      <c r="D8" s="52"/>
      <c r="E8" s="52"/>
    </row>
    <row r="9" spans="1:5" ht="26.25" customHeight="1" x14ac:dyDescent="0.25">
      <c r="A9" s="55"/>
      <c r="B9" s="56"/>
      <c r="C9" s="55"/>
      <c r="D9" s="55"/>
      <c r="E9" s="55"/>
    </row>
    <row r="10" spans="1:5" x14ac:dyDescent="0.25">
      <c r="A10" s="52"/>
      <c r="B10" s="52"/>
      <c r="C10" s="52"/>
      <c r="D10" s="52"/>
      <c r="E10" s="52"/>
    </row>
    <row r="11" spans="1:5" x14ac:dyDescent="0.25">
      <c r="A11" s="55"/>
      <c r="B11" s="55"/>
      <c r="C11" s="55"/>
      <c r="D11" s="55"/>
      <c r="E11" s="55"/>
    </row>
    <row r="12" spans="1:5" x14ac:dyDescent="0.25">
      <c r="A12" s="52"/>
      <c r="B12" s="52"/>
      <c r="C12" s="52"/>
      <c r="D12" s="52"/>
      <c r="E12" s="52"/>
    </row>
    <row r="13" spans="1:5" x14ac:dyDescent="0.25">
      <c r="A13" s="55"/>
      <c r="B13" s="55"/>
      <c r="C13" s="55"/>
      <c r="D13" s="55"/>
      <c r="E13" s="55"/>
    </row>
    <row r="14" spans="1:5" x14ac:dyDescent="0.25">
      <c r="A14" s="52"/>
      <c r="B14" s="52"/>
      <c r="C14" s="52"/>
      <c r="D14" s="52"/>
      <c r="E14" s="52"/>
    </row>
    <row r="15" spans="1:5" x14ac:dyDescent="0.25">
      <c r="A15" s="55"/>
      <c r="B15" s="55"/>
      <c r="C15" s="55"/>
      <c r="D15" s="55"/>
      <c r="E15" s="55"/>
    </row>
    <row r="16" spans="1:5" x14ac:dyDescent="0.25">
      <c r="A16" s="52"/>
      <c r="B16" s="52"/>
      <c r="C16" s="52"/>
      <c r="D16" s="52"/>
      <c r="E16" s="52"/>
    </row>
    <row r="17" spans="1:5" x14ac:dyDescent="0.25">
      <c r="A17" s="55"/>
      <c r="B17" s="55"/>
      <c r="C17" s="55"/>
      <c r="D17" s="55"/>
      <c r="E17" s="55"/>
    </row>
    <row r="18" spans="1:5" x14ac:dyDescent="0.25">
      <c r="A18" s="52"/>
      <c r="B18" s="52"/>
      <c r="C18" s="52"/>
      <c r="D18" s="52"/>
      <c r="E18" s="52"/>
    </row>
    <row r="19" spans="1:5" x14ac:dyDescent="0.25">
      <c r="A19" s="55"/>
      <c r="B19" s="55"/>
      <c r="C19" s="55"/>
      <c r="D19" s="55"/>
      <c r="E19" s="55"/>
    </row>
    <row r="20" spans="1:5" x14ac:dyDescent="0.25">
      <c r="A20" s="52"/>
      <c r="B20" s="52"/>
      <c r="C20" s="52"/>
      <c r="D20" s="52"/>
      <c r="E20" s="52"/>
    </row>
    <row r="21" spans="1:5" x14ac:dyDescent="0.25">
      <c r="A21" s="55"/>
      <c r="B21" s="55"/>
      <c r="C21" s="55"/>
      <c r="D21" s="55"/>
      <c r="E21" s="55"/>
    </row>
    <row r="22" spans="1:5" x14ac:dyDescent="0.25">
      <c r="A22" s="52"/>
      <c r="B22" s="52"/>
      <c r="C22" s="52"/>
      <c r="D22" s="52"/>
      <c r="E22" s="52"/>
    </row>
    <row r="23" spans="1:5" x14ac:dyDescent="0.25">
      <c r="A23" s="55"/>
      <c r="B23" s="55"/>
      <c r="C23" s="55"/>
      <c r="D23" s="55"/>
      <c r="E23" s="55"/>
    </row>
    <row r="24" spans="1:5" x14ac:dyDescent="0.25">
      <c r="A24" s="52"/>
      <c r="B24" s="52"/>
      <c r="C24" s="52"/>
      <c r="D24" s="52"/>
      <c r="E24" s="52"/>
    </row>
    <row r="25" spans="1:5" x14ac:dyDescent="0.25">
      <c r="A25" s="55"/>
      <c r="B25" s="52"/>
      <c r="C25" s="55"/>
      <c r="D25" s="55"/>
      <c r="E25" s="55"/>
    </row>
    <row r="26" spans="1:5" x14ac:dyDescent="0.25">
      <c r="A26" s="52"/>
      <c r="B26" s="52"/>
      <c r="C26" s="52"/>
      <c r="D26" s="52"/>
      <c r="E26" s="52"/>
    </row>
    <row r="27" spans="1:5" x14ac:dyDescent="0.25">
      <c r="A27" s="55"/>
      <c r="B27" s="55"/>
      <c r="C27" s="55"/>
      <c r="D27" s="55"/>
      <c r="E27" s="55"/>
    </row>
    <row r="28" spans="1:5" x14ac:dyDescent="0.25">
      <c r="A28" s="52"/>
      <c r="B28" s="52"/>
      <c r="C28" s="52"/>
      <c r="D28" s="52"/>
      <c r="E28" s="52"/>
    </row>
    <row r="29" spans="1:5" x14ac:dyDescent="0.25">
      <c r="A29" s="55"/>
      <c r="B29" s="55"/>
      <c r="C29" s="55"/>
      <c r="D29" s="55"/>
      <c r="E29" s="55"/>
    </row>
    <row r="30" spans="1:5" x14ac:dyDescent="0.25">
      <c r="A30" s="52"/>
      <c r="B30" s="52"/>
      <c r="C30" s="52"/>
      <c r="D30" s="52"/>
      <c r="E30" s="52"/>
    </row>
    <row r="31" spans="1:5" x14ac:dyDescent="0.25">
      <c r="A31" s="55"/>
      <c r="B31" s="55"/>
      <c r="C31" s="55"/>
      <c r="D31" s="55"/>
      <c r="E31" s="55"/>
    </row>
    <row r="32" spans="1:5" x14ac:dyDescent="0.25">
      <c r="A32" s="52"/>
      <c r="B32" s="52"/>
      <c r="C32" s="52"/>
      <c r="D32" s="52"/>
      <c r="E32" s="52"/>
    </row>
    <row r="33" spans="1:5" x14ac:dyDescent="0.25">
      <c r="A33" s="55"/>
      <c r="B33" s="55"/>
      <c r="C33" s="55"/>
      <c r="D33" s="55"/>
      <c r="E33" s="55"/>
    </row>
    <row r="34" spans="1:5" x14ac:dyDescent="0.25">
      <c r="A34" s="52"/>
      <c r="B34" s="52"/>
      <c r="C34" s="52"/>
      <c r="D34" s="52"/>
      <c r="E34" s="52"/>
    </row>
    <row r="35" spans="1:5" x14ac:dyDescent="0.25">
      <c r="A35" s="55"/>
      <c r="B35" s="55"/>
      <c r="C35" s="55"/>
      <c r="D35" s="55"/>
      <c r="E35" s="55"/>
    </row>
    <row r="36" spans="1:5" x14ac:dyDescent="0.25">
      <c r="A36" s="52"/>
      <c r="B36" s="52"/>
      <c r="C36" s="52"/>
      <c r="D36" s="52"/>
      <c r="E36" s="52"/>
    </row>
    <row r="37" spans="1:5" x14ac:dyDescent="0.25">
      <c r="A37" s="55"/>
      <c r="B37" s="55"/>
      <c r="C37" s="55"/>
      <c r="D37" s="55"/>
      <c r="E37" s="55"/>
    </row>
    <row r="38" spans="1:5" x14ac:dyDescent="0.25">
      <c r="A38" s="52"/>
      <c r="B38" s="52"/>
      <c r="C38" s="52"/>
      <c r="D38" s="52"/>
      <c r="E38" s="52"/>
    </row>
    <row r="39" spans="1:5" x14ac:dyDescent="0.25">
      <c r="A39" s="55"/>
      <c r="B39" s="55"/>
      <c r="C39" s="55"/>
      <c r="D39" s="55"/>
      <c r="E39" s="55"/>
    </row>
    <row r="40" spans="1:5" x14ac:dyDescent="0.25">
      <c r="A40" s="52"/>
      <c r="B40" s="52"/>
      <c r="C40" s="52"/>
      <c r="D40" s="52"/>
      <c r="E40" s="52"/>
    </row>
    <row r="41" spans="1:5" x14ac:dyDescent="0.25">
      <c r="A41" s="55"/>
      <c r="B41" s="55"/>
      <c r="C41" s="55"/>
      <c r="D41" s="55"/>
      <c r="E41" s="55"/>
    </row>
    <row r="42" spans="1:5" x14ac:dyDescent="0.25">
      <c r="A42" s="52"/>
      <c r="B42" s="52"/>
      <c r="C42" s="52"/>
      <c r="D42" s="52"/>
      <c r="E42" s="52"/>
    </row>
    <row r="43" spans="1:5" x14ac:dyDescent="0.25">
      <c r="A43" s="55"/>
      <c r="B43" s="55"/>
      <c r="C43" s="55"/>
      <c r="D43" s="55"/>
      <c r="E43" s="55"/>
    </row>
    <row r="44" spans="1:5" x14ac:dyDescent="0.25">
      <c r="A44" s="52"/>
      <c r="B44" s="52"/>
      <c r="C44" s="52"/>
      <c r="D44" s="52"/>
      <c r="E44" s="52"/>
    </row>
    <row r="45" spans="1:5" x14ac:dyDescent="0.25">
      <c r="A45" s="55"/>
      <c r="B45" s="55"/>
      <c r="C45" s="55"/>
      <c r="D45" s="55"/>
      <c r="E45" s="55"/>
    </row>
    <row r="46" spans="1:5" x14ac:dyDescent="0.25">
      <c r="A46" s="52"/>
      <c r="B46" s="52"/>
      <c r="C46" s="52"/>
      <c r="D46" s="52"/>
      <c r="E46" s="52"/>
    </row>
    <row r="47" spans="1:5" x14ac:dyDescent="0.25">
      <c r="A47" s="55"/>
      <c r="B47" s="55"/>
      <c r="C47" s="55"/>
      <c r="D47" s="55"/>
      <c r="E47" s="55"/>
    </row>
    <row r="48" spans="1:5" x14ac:dyDescent="0.25">
      <c r="A48" s="52"/>
      <c r="B48" s="52"/>
      <c r="C48" s="52"/>
      <c r="D48" s="52"/>
      <c r="E48" s="52"/>
    </row>
    <row r="49" spans="1:5" x14ac:dyDescent="0.25">
      <c r="A49" s="55"/>
      <c r="B49" s="55"/>
      <c r="C49" s="55"/>
      <c r="D49" s="55"/>
      <c r="E49" s="55"/>
    </row>
    <row r="50" spans="1:5" x14ac:dyDescent="0.25">
      <c r="A50" s="52"/>
      <c r="B50" s="52"/>
      <c r="C50" s="52"/>
      <c r="D50" s="52"/>
      <c r="E50" s="52"/>
    </row>
    <row r="51" spans="1:5" x14ac:dyDescent="0.25">
      <c r="A51" s="52"/>
      <c r="B51" s="55"/>
      <c r="C51" s="55"/>
      <c r="D51" s="55"/>
      <c r="E51" s="55"/>
    </row>
    <row r="52" spans="1:5" x14ac:dyDescent="0.25">
      <c r="A52" s="52"/>
      <c r="B52" s="52"/>
      <c r="C52" s="52"/>
      <c r="D52" s="52"/>
      <c r="E52" s="52"/>
    </row>
    <row r="53" spans="1:5" x14ac:dyDescent="0.25">
      <c r="A53" s="52"/>
      <c r="B53" s="55"/>
      <c r="C53" s="55"/>
      <c r="D53" s="55"/>
      <c r="E53" s="55"/>
    </row>
    <row r="54" spans="1:5" x14ac:dyDescent="0.25">
      <c r="A54" s="52"/>
      <c r="B54" s="52"/>
      <c r="C54" s="52"/>
      <c r="D54" s="52"/>
      <c r="E54" s="52"/>
    </row>
    <row r="55" spans="1:5" x14ac:dyDescent="0.25">
      <c r="A55" s="55"/>
      <c r="B55" s="55"/>
      <c r="C55" s="55"/>
      <c r="D55" s="55"/>
      <c r="E55" s="55"/>
    </row>
    <row r="56" spans="1:5" x14ac:dyDescent="0.25">
      <c r="A56" s="52"/>
      <c r="B56" s="52"/>
      <c r="C56" s="52"/>
      <c r="D56" s="52"/>
      <c r="E56" s="52"/>
    </row>
    <row r="57" spans="1:5" x14ac:dyDescent="0.25">
      <c r="A57" s="55"/>
      <c r="B57" s="55"/>
      <c r="C57" s="55"/>
      <c r="D57" s="55"/>
      <c r="E57" s="55"/>
    </row>
    <row r="58" spans="1:5" x14ac:dyDescent="0.25">
      <c r="A58" s="52"/>
      <c r="B58" s="52"/>
      <c r="C58" s="52"/>
      <c r="D58" s="52"/>
      <c r="E58" s="52"/>
    </row>
    <row r="59" spans="1:5" x14ac:dyDescent="0.25">
      <c r="A59" s="55"/>
      <c r="B59" s="55"/>
      <c r="C59" s="55"/>
      <c r="D59" s="55"/>
      <c r="E59" s="55"/>
    </row>
    <row r="60" spans="1:5" x14ac:dyDescent="0.25">
      <c r="A60" s="52"/>
      <c r="B60" s="52"/>
      <c r="C60" s="52"/>
      <c r="D60" s="52"/>
      <c r="E60" s="52"/>
    </row>
    <row r="61" spans="1:5" x14ac:dyDescent="0.25">
      <c r="A61" s="55"/>
      <c r="B61" s="55"/>
      <c r="C61" s="55"/>
      <c r="D61" s="55"/>
      <c r="E61" s="55"/>
    </row>
    <row r="62" spans="1:5" x14ac:dyDescent="0.25">
      <c r="A62" s="52"/>
      <c r="B62" s="52"/>
      <c r="C62" s="52"/>
      <c r="D62" s="52"/>
      <c r="E62" s="52"/>
    </row>
    <row r="63" spans="1:5" x14ac:dyDescent="0.25">
      <c r="A63" s="55"/>
      <c r="B63" s="55"/>
      <c r="C63" s="55"/>
      <c r="D63" s="55"/>
      <c r="E63" s="55"/>
    </row>
    <row r="64" spans="1:5" x14ac:dyDescent="0.25">
      <c r="A64" s="52"/>
      <c r="B64" s="52"/>
      <c r="C64" s="52"/>
      <c r="D64" s="52"/>
      <c r="E64" s="52"/>
    </row>
    <row r="65" spans="1:5" x14ac:dyDescent="0.25">
      <c r="A65" s="55"/>
      <c r="B65" s="55"/>
      <c r="C65" s="55"/>
      <c r="D65" s="55"/>
      <c r="E65" s="55"/>
    </row>
    <row r="66" spans="1:5" x14ac:dyDescent="0.25">
      <c r="A66" s="52"/>
      <c r="B66" s="52"/>
      <c r="C66" s="52"/>
      <c r="D66" s="52"/>
      <c r="E66" s="52"/>
    </row>
    <row r="67" spans="1:5" x14ac:dyDescent="0.25">
      <c r="A67" s="55"/>
      <c r="B67" s="55"/>
      <c r="C67" s="55"/>
      <c r="D67" s="55"/>
      <c r="E67" s="55"/>
    </row>
    <row r="68" spans="1:5" x14ac:dyDescent="0.25">
      <c r="A68" s="52"/>
      <c r="B68" s="52"/>
      <c r="C68" s="52"/>
      <c r="D68" s="52"/>
      <c r="E68" s="52"/>
    </row>
    <row r="69" spans="1:5" x14ac:dyDescent="0.25">
      <c r="A69" s="55"/>
      <c r="B69" s="55"/>
      <c r="C69" s="55"/>
      <c r="D69" s="55"/>
      <c r="E69" s="55"/>
    </row>
    <row r="70" spans="1:5" x14ac:dyDescent="0.25">
      <c r="A70" s="52"/>
      <c r="B70" s="52"/>
      <c r="C70" s="52"/>
      <c r="D70" s="52"/>
      <c r="E70" s="52"/>
    </row>
    <row r="71" spans="1:5" x14ac:dyDescent="0.25">
      <c r="A71" s="55"/>
      <c r="B71" s="55"/>
      <c r="C71" s="55"/>
      <c r="D71" s="55"/>
      <c r="E71" s="55"/>
    </row>
    <row r="72" spans="1:5" x14ac:dyDescent="0.25">
      <c r="A72" s="52"/>
      <c r="B72" s="52"/>
      <c r="C72" s="52"/>
      <c r="D72" s="52"/>
      <c r="E72" s="52"/>
    </row>
    <row r="73" spans="1:5" x14ac:dyDescent="0.25">
      <c r="A73" s="55"/>
      <c r="B73" s="55"/>
      <c r="C73" s="55"/>
      <c r="D73" s="55"/>
      <c r="E73" s="55"/>
    </row>
    <row r="74" spans="1:5" x14ac:dyDescent="0.25">
      <c r="A74" s="52"/>
      <c r="B74" s="52"/>
      <c r="C74" s="52"/>
      <c r="D74" s="52"/>
      <c r="E74" s="52"/>
    </row>
    <row r="75" spans="1:5" x14ac:dyDescent="0.25">
      <c r="A75" s="55"/>
      <c r="B75" s="55"/>
      <c r="C75" s="55"/>
      <c r="D75" s="55"/>
      <c r="E75" s="55"/>
    </row>
    <row r="76" spans="1:5" x14ac:dyDescent="0.25">
      <c r="A76" s="52"/>
      <c r="B76" s="52"/>
      <c r="C76" s="52"/>
      <c r="D76" s="52"/>
      <c r="E76" s="52"/>
    </row>
    <row r="77" spans="1:5" x14ac:dyDescent="0.25">
      <c r="A77" s="55"/>
      <c r="B77" s="55"/>
      <c r="C77" s="55"/>
      <c r="D77" s="55"/>
      <c r="E77" s="55"/>
    </row>
    <row r="78" spans="1:5" x14ac:dyDescent="0.25">
      <c r="A78" s="52"/>
      <c r="B78" s="52"/>
      <c r="C78" s="52"/>
      <c r="D78" s="52"/>
      <c r="E78" s="52"/>
    </row>
    <row r="79" spans="1:5" x14ac:dyDescent="0.25">
      <c r="A79" s="55"/>
      <c r="B79" s="55"/>
      <c r="C79" s="55"/>
      <c r="D79" s="55"/>
      <c r="E79" s="55"/>
    </row>
    <row r="80" spans="1:5" x14ac:dyDescent="0.25">
      <c r="A80" s="52"/>
      <c r="B80" s="52"/>
      <c r="C80" s="52"/>
      <c r="D80" s="52"/>
      <c r="E80" s="52"/>
    </row>
    <row r="81" spans="1:5" x14ac:dyDescent="0.25">
      <c r="A81" s="55"/>
      <c r="B81" s="55"/>
      <c r="C81" s="55"/>
      <c r="D81" s="55"/>
      <c r="E81" s="55"/>
    </row>
    <row r="82" spans="1:5" x14ac:dyDescent="0.25">
      <c r="A82" s="52"/>
      <c r="B82" s="52"/>
      <c r="C82" s="52"/>
      <c r="D82" s="52"/>
      <c r="E82" s="52"/>
    </row>
    <row r="83" spans="1:5" x14ac:dyDescent="0.25">
      <c r="A83" s="55"/>
      <c r="B83" s="55"/>
      <c r="C83" s="55"/>
      <c r="D83" s="55"/>
      <c r="E83" s="55"/>
    </row>
    <row r="84" spans="1:5" x14ac:dyDescent="0.25">
      <c r="A84" s="52"/>
      <c r="B84" s="52"/>
      <c r="C84" s="52"/>
      <c r="D84" s="52"/>
      <c r="E84" s="52"/>
    </row>
    <row r="85" spans="1:5" x14ac:dyDescent="0.25">
      <c r="A85" s="55"/>
      <c r="B85" s="55"/>
      <c r="C85" s="55"/>
      <c r="D85" s="55"/>
      <c r="E85" s="55"/>
    </row>
    <row r="86" spans="1:5" x14ac:dyDescent="0.25">
      <c r="A86" s="52"/>
      <c r="B86" s="52"/>
      <c r="C86" s="52"/>
      <c r="D86" s="52"/>
      <c r="E86" s="52"/>
    </row>
    <row r="87" spans="1:5" x14ac:dyDescent="0.25">
      <c r="A87" s="55"/>
      <c r="B87" s="55"/>
      <c r="C87" s="55"/>
      <c r="D87" s="55"/>
      <c r="E87" s="55"/>
    </row>
    <row r="88" spans="1:5" x14ac:dyDescent="0.25">
      <c r="A88" s="52"/>
      <c r="B88" s="52"/>
      <c r="C88" s="52"/>
      <c r="D88" s="52"/>
      <c r="E88" s="52"/>
    </row>
    <row r="89" spans="1:5" x14ac:dyDescent="0.25">
      <c r="A89" s="55"/>
      <c r="B89" s="55"/>
      <c r="C89" s="55"/>
      <c r="D89" s="55"/>
      <c r="E89" s="55"/>
    </row>
    <row r="90" spans="1:5" x14ac:dyDescent="0.25">
      <c r="A90" s="52"/>
      <c r="B90" s="52"/>
      <c r="C90" s="52"/>
      <c r="D90" s="52"/>
      <c r="E90" s="52"/>
    </row>
    <row r="91" spans="1:5" x14ac:dyDescent="0.25">
      <c r="A91" s="55"/>
      <c r="B91" s="55"/>
      <c r="C91" s="55"/>
      <c r="D91" s="55"/>
      <c r="E91" s="55"/>
    </row>
  </sheetData>
  <autoFilter ref="A1:E82" xr:uid="{10322CBD-675A-4EFF-8BC0-79987290276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561D-DC4A-4A59-8307-7FB42BDCA056}">
  <sheetPr>
    <tabColor rgb="FF92D050"/>
  </sheetPr>
  <dimension ref="A1:L70"/>
  <sheetViews>
    <sheetView showGridLines="0" workbookViewId="0">
      <pane xSplit="2" ySplit="1" topLeftCell="C2" activePane="bottomRight" state="frozen"/>
      <selection pane="topRight" activeCell="C1" sqref="C1"/>
      <selection pane="bottomLeft" activeCell="A6" sqref="A6"/>
      <selection pane="bottomRight" activeCell="D66" sqref="D66"/>
    </sheetView>
  </sheetViews>
  <sheetFormatPr baseColWidth="10" defaultColWidth="9.140625" defaultRowHeight="15" x14ac:dyDescent="0.25"/>
  <cols>
    <col min="1" max="1" width="17.42578125" style="60" customWidth="1"/>
    <col min="2" max="2" width="42.7109375" style="60" customWidth="1"/>
    <col min="3" max="3" width="11.5703125" style="62" bestFit="1" customWidth="1"/>
    <col min="4" max="4" width="9.140625" style="62"/>
    <col min="5" max="5" width="40.5703125" style="60" customWidth="1"/>
    <col min="6" max="6" width="44.140625" style="60" customWidth="1"/>
    <col min="7" max="7" width="36.5703125" style="60" bestFit="1" customWidth="1"/>
    <col min="8" max="8" width="11.5703125" style="60" hidden="1" customWidth="1"/>
    <col min="9" max="16384" width="9.140625" style="60"/>
  </cols>
  <sheetData>
    <row r="1" spans="1:12" s="64" customFormat="1" ht="30" x14ac:dyDescent="0.25">
      <c r="A1" s="66" t="s">
        <v>69</v>
      </c>
      <c r="B1" s="66" t="s">
        <v>199</v>
      </c>
      <c r="C1" s="67" t="s">
        <v>200</v>
      </c>
      <c r="D1" s="67" t="s">
        <v>201</v>
      </c>
      <c r="E1" s="68" t="s">
        <v>15</v>
      </c>
      <c r="F1" s="69" t="s">
        <v>202</v>
      </c>
    </row>
    <row r="2" spans="1:12" s="64" customFormat="1" ht="15.75" x14ac:dyDescent="0.25">
      <c r="A2" s="336" t="s">
        <v>203</v>
      </c>
      <c r="B2" s="177" t="s">
        <v>204</v>
      </c>
      <c r="C2" s="178">
        <v>25</v>
      </c>
      <c r="D2" s="256" t="s">
        <v>205</v>
      </c>
      <c r="E2" s="179" t="s">
        <v>206</v>
      </c>
      <c r="F2" s="180"/>
      <c r="H2" s="251" t="s">
        <v>205</v>
      </c>
    </row>
    <row r="3" spans="1:12" s="64" customFormat="1" ht="15.75" x14ac:dyDescent="0.25">
      <c r="A3" s="331"/>
      <c r="B3" s="181" t="s">
        <v>207</v>
      </c>
      <c r="C3" s="182" t="s">
        <v>208</v>
      </c>
      <c r="D3" s="257" t="s">
        <v>205</v>
      </c>
      <c r="E3" s="181" t="s">
        <v>209</v>
      </c>
      <c r="F3" s="183" t="s">
        <v>210</v>
      </c>
      <c r="H3" s="250" t="s">
        <v>211</v>
      </c>
    </row>
    <row r="4" spans="1:12" s="64" customFormat="1" ht="30" x14ac:dyDescent="0.25">
      <c r="A4" s="331"/>
      <c r="B4" s="181" t="s">
        <v>212</v>
      </c>
      <c r="C4" s="182" t="s">
        <v>208</v>
      </c>
      <c r="D4" s="257" t="s">
        <v>211</v>
      </c>
      <c r="E4" s="181" t="s">
        <v>213</v>
      </c>
      <c r="F4" s="183" t="s">
        <v>214</v>
      </c>
      <c r="H4" s="251" t="s">
        <v>215</v>
      </c>
    </row>
    <row r="5" spans="1:12" s="64" customFormat="1" x14ac:dyDescent="0.25">
      <c r="A5" s="331"/>
      <c r="B5" s="181" t="s">
        <v>216</v>
      </c>
      <c r="C5" s="182" t="s">
        <v>208</v>
      </c>
      <c r="D5" s="257" t="s">
        <v>211</v>
      </c>
      <c r="E5" s="181"/>
      <c r="F5" s="183" t="s">
        <v>217</v>
      </c>
      <c r="H5" s="62" t="s">
        <v>218</v>
      </c>
    </row>
    <row r="6" spans="1:12" s="64" customFormat="1" x14ac:dyDescent="0.25">
      <c r="A6" s="331"/>
      <c r="B6" s="181" t="s">
        <v>219</v>
      </c>
      <c r="C6" s="182" t="s">
        <v>220</v>
      </c>
      <c r="D6" s="257" t="s">
        <v>215</v>
      </c>
      <c r="E6" s="181" t="s">
        <v>221</v>
      </c>
      <c r="F6" s="183"/>
    </row>
    <row r="7" spans="1:12" s="64" customFormat="1" ht="30" x14ac:dyDescent="0.25">
      <c r="A7" s="331"/>
      <c r="B7" s="181" t="s">
        <v>222</v>
      </c>
      <c r="C7" s="182" t="s">
        <v>208</v>
      </c>
      <c r="D7" s="257" t="s">
        <v>211</v>
      </c>
      <c r="E7" s="181" t="s">
        <v>223</v>
      </c>
      <c r="F7" s="183"/>
    </row>
    <row r="8" spans="1:12" s="64" customFormat="1" ht="30" x14ac:dyDescent="0.25">
      <c r="A8" s="332"/>
      <c r="B8" s="184" t="s">
        <v>224</v>
      </c>
      <c r="C8" s="185" t="s">
        <v>208</v>
      </c>
      <c r="D8" s="258" t="s">
        <v>211</v>
      </c>
      <c r="E8" s="184" t="s">
        <v>225</v>
      </c>
      <c r="F8" s="186" t="s">
        <v>226</v>
      </c>
    </row>
    <row r="9" spans="1:12" s="64" customFormat="1" x14ac:dyDescent="0.25">
      <c r="A9" s="330" t="s">
        <v>148</v>
      </c>
      <c r="B9" s="187" t="s">
        <v>227</v>
      </c>
      <c r="C9" s="188">
        <v>2317</v>
      </c>
      <c r="D9" s="259" t="s">
        <v>211</v>
      </c>
      <c r="E9" s="187"/>
      <c r="F9" s="189"/>
    </row>
    <row r="10" spans="1:12" s="64" customFormat="1" x14ac:dyDescent="0.25">
      <c r="A10" s="331"/>
      <c r="B10" s="252" t="s">
        <v>228</v>
      </c>
      <c r="C10" s="182">
        <v>11</v>
      </c>
      <c r="D10" s="257" t="s">
        <v>205</v>
      </c>
      <c r="E10" s="181" t="s">
        <v>229</v>
      </c>
      <c r="F10" s="183"/>
    </row>
    <row r="11" spans="1:12" s="64" customFormat="1" ht="60" x14ac:dyDescent="0.25">
      <c r="A11" s="331"/>
      <c r="B11" s="181" t="s">
        <v>230</v>
      </c>
      <c r="C11" s="182" t="s">
        <v>231</v>
      </c>
      <c r="D11" s="257" t="s">
        <v>205</v>
      </c>
      <c r="E11" s="181" t="s">
        <v>232</v>
      </c>
      <c r="F11" s="183" t="s">
        <v>233</v>
      </c>
    </row>
    <row r="12" spans="1:12" s="64" customFormat="1" x14ac:dyDescent="0.25">
      <c r="A12" s="331"/>
      <c r="B12" s="181" t="s">
        <v>234</v>
      </c>
      <c r="C12" s="182">
        <v>39</v>
      </c>
      <c r="D12" s="257" t="s">
        <v>211</v>
      </c>
      <c r="E12" s="181" t="s">
        <v>235</v>
      </c>
      <c r="F12" s="183"/>
    </row>
    <row r="13" spans="1:12" s="64" customFormat="1" x14ac:dyDescent="0.25">
      <c r="A13" s="331"/>
      <c r="B13" s="181" t="s">
        <v>236</v>
      </c>
      <c r="C13" s="182">
        <v>21</v>
      </c>
      <c r="D13" s="257" t="s">
        <v>211</v>
      </c>
      <c r="E13" s="181" t="s">
        <v>235</v>
      </c>
      <c r="F13" s="183"/>
    </row>
    <row r="14" spans="1:12" s="64" customFormat="1" x14ac:dyDescent="0.25">
      <c r="A14" s="331"/>
      <c r="B14" s="181" t="s">
        <v>237</v>
      </c>
      <c r="C14" s="182">
        <v>14</v>
      </c>
      <c r="D14" s="257" t="s">
        <v>215</v>
      </c>
      <c r="E14" s="181" t="s">
        <v>235</v>
      </c>
      <c r="F14" s="183"/>
    </row>
    <row r="15" spans="1:12" s="64" customFormat="1" x14ac:dyDescent="0.25">
      <c r="A15" s="332"/>
      <c r="B15" s="184" t="s">
        <v>238</v>
      </c>
      <c r="C15" s="190">
        <v>0.98599999999999999</v>
      </c>
      <c r="D15" s="260" t="s">
        <v>215</v>
      </c>
      <c r="E15" s="184"/>
      <c r="F15" s="186"/>
    </row>
    <row r="16" spans="1:12" s="64" customFormat="1" ht="30.75" thickTop="1" x14ac:dyDescent="0.25">
      <c r="A16" s="330" t="s">
        <v>119</v>
      </c>
      <c r="B16" s="187" t="s">
        <v>239</v>
      </c>
      <c r="C16" s="188" t="s">
        <v>208</v>
      </c>
      <c r="D16" s="261" t="s">
        <v>211</v>
      </c>
      <c r="E16" s="187" t="s">
        <v>240</v>
      </c>
      <c r="F16" s="189" t="s">
        <v>241</v>
      </c>
      <c r="G16" s="65"/>
      <c r="K16" s="65" t="s">
        <v>242</v>
      </c>
      <c r="L16" s="65" t="s">
        <v>243</v>
      </c>
    </row>
    <row r="17" spans="1:6" s="64" customFormat="1" ht="45" x14ac:dyDescent="0.25">
      <c r="A17" s="331"/>
      <c r="B17" s="181" t="s">
        <v>244</v>
      </c>
      <c r="C17" s="182">
        <v>-16</v>
      </c>
      <c r="D17" s="257" t="s">
        <v>205</v>
      </c>
      <c r="E17" s="181"/>
      <c r="F17" s="183" t="s">
        <v>245</v>
      </c>
    </row>
    <row r="18" spans="1:6" s="64" customFormat="1" ht="45" x14ac:dyDescent="0.25">
      <c r="A18" s="331"/>
      <c r="B18" s="181" t="s">
        <v>246</v>
      </c>
      <c r="C18" s="182">
        <v>-6</v>
      </c>
      <c r="D18" s="257" t="s">
        <v>205</v>
      </c>
      <c r="E18" s="181"/>
      <c r="F18" s="183" t="s">
        <v>247</v>
      </c>
    </row>
    <row r="19" spans="1:6" s="64" customFormat="1" ht="45" x14ac:dyDescent="0.25">
      <c r="A19" s="331"/>
      <c r="B19" s="181" t="s">
        <v>116</v>
      </c>
      <c r="C19" s="182" t="s">
        <v>248</v>
      </c>
      <c r="D19" s="257" t="s">
        <v>205</v>
      </c>
      <c r="E19" s="181" t="s">
        <v>249</v>
      </c>
      <c r="F19" s="183" t="s">
        <v>250</v>
      </c>
    </row>
    <row r="20" spans="1:6" s="64" customFormat="1" ht="30" x14ac:dyDescent="0.25">
      <c r="A20" s="332"/>
      <c r="B20" s="184" t="s">
        <v>251</v>
      </c>
      <c r="C20" s="185" t="s">
        <v>248</v>
      </c>
      <c r="D20" s="258" t="s">
        <v>205</v>
      </c>
      <c r="E20" s="184" t="s">
        <v>252</v>
      </c>
      <c r="F20" s="186" t="s">
        <v>253</v>
      </c>
    </row>
    <row r="21" spans="1:6" s="64" customFormat="1" ht="30" x14ac:dyDescent="0.25">
      <c r="A21" s="330" t="s">
        <v>254</v>
      </c>
      <c r="B21" s="187" t="s">
        <v>255</v>
      </c>
      <c r="C21" s="188">
        <v>-157</v>
      </c>
      <c r="D21" s="261" t="s">
        <v>205</v>
      </c>
      <c r="E21" s="187" t="s">
        <v>256</v>
      </c>
      <c r="F21" s="189" t="s">
        <v>257</v>
      </c>
    </row>
    <row r="22" spans="1:6" s="64" customFormat="1" ht="45" x14ac:dyDescent="0.25">
      <c r="A22" s="331"/>
      <c r="B22" s="181" t="s">
        <v>258</v>
      </c>
      <c r="C22" s="191">
        <v>0.39300000000000002</v>
      </c>
      <c r="D22" s="257" t="s">
        <v>211</v>
      </c>
      <c r="E22" s="181" t="s">
        <v>259</v>
      </c>
      <c r="F22" s="183" t="s">
        <v>260</v>
      </c>
    </row>
    <row r="23" spans="1:6" s="64" customFormat="1" ht="30" x14ac:dyDescent="0.25">
      <c r="A23" s="331"/>
      <c r="B23" s="181" t="s">
        <v>261</v>
      </c>
      <c r="C23" s="192">
        <v>0.23</v>
      </c>
      <c r="D23" s="262" t="s">
        <v>211</v>
      </c>
      <c r="E23" s="181" t="s">
        <v>262</v>
      </c>
      <c r="F23" s="183" t="s">
        <v>263</v>
      </c>
    </row>
    <row r="24" spans="1:6" s="64" customFormat="1" ht="30" x14ac:dyDescent="0.25">
      <c r="A24" s="331"/>
      <c r="B24" s="181" t="s">
        <v>264</v>
      </c>
      <c r="C24" s="182" t="s">
        <v>265</v>
      </c>
      <c r="D24" s="263" t="s">
        <v>211</v>
      </c>
      <c r="E24" s="181" t="s">
        <v>266</v>
      </c>
      <c r="F24" s="183" t="s">
        <v>267</v>
      </c>
    </row>
    <row r="25" spans="1:6" s="64" customFormat="1" x14ac:dyDescent="0.25">
      <c r="A25" s="331"/>
      <c r="B25" s="181" t="s">
        <v>268</v>
      </c>
      <c r="C25" s="192">
        <v>0.92</v>
      </c>
      <c r="D25" s="263" t="s">
        <v>205</v>
      </c>
      <c r="E25" s="181" t="s">
        <v>269</v>
      </c>
      <c r="F25" s="183"/>
    </row>
    <row r="26" spans="1:6" s="64" customFormat="1" ht="30" x14ac:dyDescent="0.25">
      <c r="A26" s="331"/>
      <c r="B26" s="181" t="s">
        <v>270</v>
      </c>
      <c r="C26" s="182">
        <v>33</v>
      </c>
      <c r="D26" s="264" t="s">
        <v>205</v>
      </c>
      <c r="E26" s="181" t="s">
        <v>271</v>
      </c>
      <c r="F26" s="183"/>
    </row>
    <row r="27" spans="1:6" s="64" customFormat="1" x14ac:dyDescent="0.25">
      <c r="A27" s="331"/>
      <c r="B27" s="181" t="s">
        <v>272</v>
      </c>
      <c r="C27" s="192">
        <v>0.7</v>
      </c>
      <c r="D27" s="264" t="s">
        <v>211</v>
      </c>
      <c r="E27" s="181"/>
      <c r="F27" s="183"/>
    </row>
    <row r="28" spans="1:6" s="64" customFormat="1" x14ac:dyDescent="0.25">
      <c r="A28" s="331"/>
      <c r="B28" s="181" t="s">
        <v>273</v>
      </c>
      <c r="C28" s="193">
        <v>0.17</v>
      </c>
      <c r="D28" s="263" t="s">
        <v>205</v>
      </c>
      <c r="E28" s="181" t="s">
        <v>274</v>
      </c>
      <c r="F28" s="194" t="s">
        <v>275</v>
      </c>
    </row>
    <row r="29" spans="1:6" s="64" customFormat="1" x14ac:dyDescent="0.25">
      <c r="A29" s="331"/>
      <c r="B29" s="181" t="s">
        <v>276</v>
      </c>
      <c r="C29" s="192">
        <v>-0.15</v>
      </c>
      <c r="D29" s="264" t="s">
        <v>215</v>
      </c>
      <c r="E29" s="181"/>
      <c r="F29" s="183"/>
    </row>
    <row r="30" spans="1:6" s="64" customFormat="1" x14ac:dyDescent="0.25">
      <c r="A30" s="332"/>
      <c r="B30" s="184" t="s">
        <v>277</v>
      </c>
      <c r="C30" s="185" t="s">
        <v>265</v>
      </c>
      <c r="D30" s="258" t="s">
        <v>211</v>
      </c>
      <c r="E30" s="184" t="s">
        <v>278</v>
      </c>
      <c r="F30" s="186"/>
    </row>
    <row r="31" spans="1:6" s="64" customFormat="1" ht="105" x14ac:dyDescent="0.25">
      <c r="A31" s="330" t="s">
        <v>78</v>
      </c>
      <c r="B31" s="187" t="s">
        <v>279</v>
      </c>
      <c r="C31" s="195">
        <v>139</v>
      </c>
      <c r="D31" s="261" t="s">
        <v>211</v>
      </c>
      <c r="E31" s="196" t="s">
        <v>280</v>
      </c>
      <c r="F31" s="189" t="s">
        <v>281</v>
      </c>
    </row>
    <row r="32" spans="1:6" s="64" customFormat="1" x14ac:dyDescent="0.25">
      <c r="A32" s="331"/>
      <c r="B32" s="181" t="s">
        <v>282</v>
      </c>
      <c r="C32" s="182" t="s">
        <v>218</v>
      </c>
      <c r="D32" s="257" t="s">
        <v>205</v>
      </c>
      <c r="E32" s="181" t="s">
        <v>283</v>
      </c>
      <c r="F32" s="183" t="s">
        <v>284</v>
      </c>
    </row>
    <row r="33" spans="1:7" s="64" customFormat="1" ht="30" x14ac:dyDescent="0.25">
      <c r="A33" s="331"/>
      <c r="B33" s="181" t="s">
        <v>285</v>
      </c>
      <c r="C33" s="182">
        <v>67.2</v>
      </c>
      <c r="D33" s="257" t="s">
        <v>205</v>
      </c>
      <c r="E33" s="181" t="s">
        <v>286</v>
      </c>
      <c r="F33" s="183" t="s">
        <v>287</v>
      </c>
    </row>
    <row r="34" spans="1:7" s="64" customFormat="1" ht="90" x14ac:dyDescent="0.25">
      <c r="A34" s="331"/>
      <c r="B34" s="181" t="s">
        <v>288</v>
      </c>
      <c r="C34" s="182" t="s">
        <v>289</v>
      </c>
      <c r="D34" s="257" t="s">
        <v>211</v>
      </c>
      <c r="E34" s="181" t="s">
        <v>290</v>
      </c>
      <c r="F34" s="183" t="s">
        <v>291</v>
      </c>
    </row>
    <row r="35" spans="1:7" s="64" customFormat="1" ht="60" x14ac:dyDescent="0.25">
      <c r="A35" s="331"/>
      <c r="B35" s="181" t="s">
        <v>292</v>
      </c>
      <c r="C35" s="182">
        <v>22356</v>
      </c>
      <c r="D35" s="257" t="s">
        <v>205</v>
      </c>
      <c r="E35" s="181" t="s">
        <v>293</v>
      </c>
      <c r="F35" s="183" t="s">
        <v>294</v>
      </c>
    </row>
    <row r="36" spans="1:7" s="64" customFormat="1" ht="135" x14ac:dyDescent="0.25">
      <c r="A36" s="331"/>
      <c r="B36" s="181" t="s">
        <v>295</v>
      </c>
      <c r="C36" s="182" t="s">
        <v>296</v>
      </c>
      <c r="D36" s="257" t="s">
        <v>211</v>
      </c>
      <c r="E36" s="181" t="s">
        <v>297</v>
      </c>
      <c r="F36" s="183" t="s">
        <v>298</v>
      </c>
    </row>
    <row r="37" spans="1:7" s="64" customFormat="1" x14ac:dyDescent="0.25">
      <c r="A37" s="331"/>
      <c r="B37" s="181" t="s">
        <v>153</v>
      </c>
      <c r="C37" s="191">
        <v>0.26840000000000003</v>
      </c>
      <c r="D37" s="257" t="s">
        <v>205</v>
      </c>
      <c r="E37" s="181" t="s">
        <v>299</v>
      </c>
      <c r="F37" s="183" t="s">
        <v>300</v>
      </c>
    </row>
    <row r="38" spans="1:7" s="64" customFormat="1" ht="45" x14ac:dyDescent="0.25">
      <c r="A38" s="331"/>
      <c r="B38" s="181" t="s">
        <v>301</v>
      </c>
      <c r="C38" s="192">
        <v>0.51</v>
      </c>
      <c r="D38" s="257" t="s">
        <v>211</v>
      </c>
      <c r="E38" s="197" t="s">
        <v>302</v>
      </c>
      <c r="F38" s="183" t="s">
        <v>303</v>
      </c>
    </row>
    <row r="39" spans="1:7" s="64" customFormat="1" ht="45" x14ac:dyDescent="0.25">
      <c r="A39" s="332"/>
      <c r="B39" s="184" t="s">
        <v>304</v>
      </c>
      <c r="C39" s="198">
        <v>0.3</v>
      </c>
      <c r="D39" s="258" t="s">
        <v>205</v>
      </c>
      <c r="E39" s="184" t="s">
        <v>305</v>
      </c>
      <c r="F39" s="186" t="s">
        <v>306</v>
      </c>
    </row>
    <row r="40" spans="1:7" s="64" customFormat="1" x14ac:dyDescent="0.25">
      <c r="A40" s="199" t="s">
        <v>161</v>
      </c>
      <c r="B40" s="187" t="s">
        <v>307</v>
      </c>
      <c r="C40" s="188">
        <v>1.92</v>
      </c>
      <c r="D40" s="261" t="s">
        <v>205</v>
      </c>
      <c r="E40" s="187"/>
      <c r="F40" s="189"/>
    </row>
    <row r="41" spans="1:7" s="64" customFormat="1" x14ac:dyDescent="0.25">
      <c r="A41" s="200"/>
      <c r="B41" s="252" t="s">
        <v>308</v>
      </c>
      <c r="C41" s="283">
        <v>0.02</v>
      </c>
      <c r="D41" s="257" t="s">
        <v>205</v>
      </c>
      <c r="E41" s="181"/>
      <c r="F41" s="183"/>
    </row>
    <row r="42" spans="1:7" s="64" customFormat="1" ht="30" x14ac:dyDescent="0.25">
      <c r="A42" s="200"/>
      <c r="B42" s="181" t="s">
        <v>309</v>
      </c>
      <c r="C42" s="191">
        <v>0.189</v>
      </c>
      <c r="D42" s="257" t="s">
        <v>205</v>
      </c>
      <c r="E42" s="181"/>
      <c r="F42" s="183" t="s">
        <v>310</v>
      </c>
    </row>
    <row r="43" spans="1:7" s="64" customFormat="1" ht="45" x14ac:dyDescent="0.25">
      <c r="A43" s="200"/>
      <c r="B43" s="181" t="s">
        <v>311</v>
      </c>
      <c r="C43" s="284">
        <v>8500</v>
      </c>
      <c r="D43" s="257" t="s">
        <v>205</v>
      </c>
      <c r="E43" s="181" t="s">
        <v>312</v>
      </c>
      <c r="F43" s="183" t="s">
        <v>313</v>
      </c>
    </row>
    <row r="44" spans="1:7" s="64" customFormat="1" x14ac:dyDescent="0.25">
      <c r="A44" s="200"/>
      <c r="B44" s="181" t="s">
        <v>314</v>
      </c>
      <c r="C44" s="192">
        <v>0.42</v>
      </c>
      <c r="D44" s="257" t="s">
        <v>205</v>
      </c>
      <c r="E44" s="181"/>
      <c r="F44" s="183"/>
      <c r="G44" s="65"/>
    </row>
    <row r="45" spans="1:7" s="64" customFormat="1" x14ac:dyDescent="0.25">
      <c r="A45" s="201"/>
      <c r="B45" s="184" t="s">
        <v>315</v>
      </c>
      <c r="C45" s="198">
        <v>0.45</v>
      </c>
      <c r="D45" s="258" t="s">
        <v>205</v>
      </c>
      <c r="E45" s="184" t="s">
        <v>316</v>
      </c>
      <c r="F45" s="186"/>
    </row>
    <row r="46" spans="1:7" s="64" customFormat="1" x14ac:dyDescent="0.25">
      <c r="A46" s="330" t="s">
        <v>133</v>
      </c>
      <c r="B46" s="187" t="s">
        <v>317</v>
      </c>
      <c r="C46" s="202">
        <v>0.01</v>
      </c>
      <c r="D46" s="261" t="s">
        <v>215</v>
      </c>
      <c r="E46" s="187"/>
      <c r="F46" s="189"/>
      <c r="G46" s="65"/>
    </row>
    <row r="47" spans="1:7" s="64" customFormat="1" x14ac:dyDescent="0.25">
      <c r="A47" s="331"/>
      <c r="B47" s="181" t="s">
        <v>318</v>
      </c>
      <c r="C47" s="182"/>
      <c r="D47" s="257" t="s">
        <v>211</v>
      </c>
      <c r="E47" s="181"/>
      <c r="F47" s="183"/>
    </row>
    <row r="48" spans="1:7" s="64" customFormat="1" x14ac:dyDescent="0.25">
      <c r="A48" s="331"/>
      <c r="B48" s="181" t="s">
        <v>319</v>
      </c>
      <c r="C48" s="182"/>
      <c r="D48" s="257" t="s">
        <v>205</v>
      </c>
      <c r="E48" s="181"/>
      <c r="F48" s="183"/>
    </row>
    <row r="49" spans="1:7" s="64" customFormat="1" x14ac:dyDescent="0.25">
      <c r="A49" s="331"/>
      <c r="B49" s="181" t="s">
        <v>320</v>
      </c>
      <c r="C49" s="182" t="s">
        <v>265</v>
      </c>
      <c r="D49" s="257" t="s">
        <v>205</v>
      </c>
      <c r="E49" s="181"/>
      <c r="F49" s="183"/>
    </row>
    <row r="50" spans="1:7" s="64" customFormat="1" x14ac:dyDescent="0.25">
      <c r="A50" s="331"/>
      <c r="B50" s="181" t="s">
        <v>321</v>
      </c>
      <c r="C50" s="182" t="s">
        <v>265</v>
      </c>
      <c r="D50" s="257" t="s">
        <v>205</v>
      </c>
      <c r="E50" s="181"/>
      <c r="F50" s="183"/>
    </row>
    <row r="51" spans="1:7" s="64" customFormat="1" x14ac:dyDescent="0.25">
      <c r="A51" s="331"/>
      <c r="B51" s="181" t="s">
        <v>322</v>
      </c>
      <c r="C51" s="182"/>
      <c r="D51" s="257" t="s">
        <v>205</v>
      </c>
      <c r="E51" s="181" t="s">
        <v>323</v>
      </c>
      <c r="F51" s="183"/>
    </row>
    <row r="52" spans="1:7" s="64" customFormat="1" ht="30" x14ac:dyDescent="0.25">
      <c r="A52" s="331"/>
      <c r="B52" s="181" t="s">
        <v>324</v>
      </c>
      <c r="C52" s="182"/>
      <c r="D52" s="257" t="s">
        <v>205</v>
      </c>
      <c r="E52" s="181" t="s">
        <v>325</v>
      </c>
      <c r="F52" s="183" t="s">
        <v>326</v>
      </c>
    </row>
    <row r="53" spans="1:7" s="64" customFormat="1" x14ac:dyDescent="0.25">
      <c r="A53" s="331"/>
      <c r="B53" s="181" t="s">
        <v>327</v>
      </c>
      <c r="C53" s="192">
        <v>0.95</v>
      </c>
      <c r="D53" s="257" t="s">
        <v>215</v>
      </c>
      <c r="E53" s="252" t="s">
        <v>328</v>
      </c>
      <c r="F53" s="183" t="s">
        <v>329</v>
      </c>
      <c r="G53" s="65"/>
    </row>
    <row r="54" spans="1:7" s="64" customFormat="1" ht="30" x14ac:dyDescent="0.25">
      <c r="A54" s="332"/>
      <c r="B54" s="184" t="s">
        <v>330</v>
      </c>
      <c r="C54" s="285">
        <v>0</v>
      </c>
      <c r="D54" s="258" t="s">
        <v>215</v>
      </c>
      <c r="E54" s="184"/>
      <c r="F54" s="186" t="s">
        <v>331</v>
      </c>
    </row>
    <row r="55" spans="1:7" s="64" customFormat="1" ht="30" x14ac:dyDescent="0.25">
      <c r="A55" s="330" t="s">
        <v>332</v>
      </c>
      <c r="B55" s="187" t="s">
        <v>333</v>
      </c>
      <c r="C55" s="188" t="s">
        <v>5</v>
      </c>
      <c r="D55" s="261" t="s">
        <v>205</v>
      </c>
      <c r="E55" s="187" t="s">
        <v>334</v>
      </c>
      <c r="F55" s="189"/>
    </row>
    <row r="56" spans="1:7" s="64" customFormat="1" x14ac:dyDescent="0.25">
      <c r="A56" s="331"/>
      <c r="B56" s="181" t="s">
        <v>335</v>
      </c>
      <c r="C56" s="182"/>
      <c r="D56" s="257" t="s">
        <v>205</v>
      </c>
      <c r="E56" s="181" t="s">
        <v>336</v>
      </c>
      <c r="F56" s="183"/>
    </row>
    <row r="57" spans="1:7" s="64" customFormat="1" x14ac:dyDescent="0.25">
      <c r="A57" s="331"/>
      <c r="B57" s="181" t="s">
        <v>337</v>
      </c>
      <c r="C57" s="182"/>
      <c r="D57" s="257" t="s">
        <v>205</v>
      </c>
      <c r="E57" s="181" t="s">
        <v>338</v>
      </c>
      <c r="F57" s="183"/>
    </row>
    <row r="58" spans="1:7" s="64" customFormat="1" x14ac:dyDescent="0.25">
      <c r="A58" s="331"/>
      <c r="B58" s="181" t="s">
        <v>339</v>
      </c>
      <c r="C58" s="203" t="s">
        <v>340</v>
      </c>
      <c r="D58" s="257" t="s">
        <v>205</v>
      </c>
      <c r="E58" s="181" t="s">
        <v>341</v>
      </c>
      <c r="F58" s="183" t="s">
        <v>342</v>
      </c>
    </row>
    <row r="59" spans="1:7" s="64" customFormat="1" ht="30" x14ac:dyDescent="0.25">
      <c r="A59" s="332"/>
      <c r="B59" s="184" t="s">
        <v>343</v>
      </c>
      <c r="C59" s="185" t="s">
        <v>208</v>
      </c>
      <c r="D59" s="258" t="s">
        <v>205</v>
      </c>
      <c r="E59" s="184" t="s">
        <v>344</v>
      </c>
      <c r="F59" s="186" t="s">
        <v>345</v>
      </c>
    </row>
    <row r="60" spans="1:7" s="64" customFormat="1" ht="30" x14ac:dyDescent="0.25">
      <c r="A60" s="296" t="s">
        <v>184</v>
      </c>
      <c r="B60" s="187" t="s">
        <v>346</v>
      </c>
      <c r="C60" s="188" t="s">
        <v>347</v>
      </c>
      <c r="D60" s="265" t="s">
        <v>215</v>
      </c>
      <c r="E60" s="187" t="s">
        <v>348</v>
      </c>
      <c r="F60" s="189" t="s">
        <v>349</v>
      </c>
    </row>
    <row r="61" spans="1:7" s="64" customFormat="1" ht="30" x14ac:dyDescent="0.25">
      <c r="A61" s="333" t="s">
        <v>108</v>
      </c>
      <c r="B61" s="187" t="s">
        <v>350</v>
      </c>
      <c r="C61" s="202" t="s">
        <v>351</v>
      </c>
      <c r="D61" s="266" t="s">
        <v>205</v>
      </c>
      <c r="E61" s="187" t="s">
        <v>352</v>
      </c>
      <c r="F61" s="189"/>
    </row>
    <row r="62" spans="1:7" s="64" customFormat="1" x14ac:dyDescent="0.25">
      <c r="A62" s="334"/>
      <c r="B62" s="181" t="s">
        <v>353</v>
      </c>
      <c r="C62" s="192">
        <v>0.47</v>
      </c>
      <c r="D62" s="262" t="s">
        <v>205</v>
      </c>
      <c r="E62" s="181"/>
      <c r="F62" s="183"/>
    </row>
    <row r="63" spans="1:7" s="64" customFormat="1" x14ac:dyDescent="0.25">
      <c r="A63" s="334"/>
      <c r="B63" s="181" t="s">
        <v>354</v>
      </c>
      <c r="C63" s="284">
        <v>15000</v>
      </c>
      <c r="D63" s="262" t="s">
        <v>205</v>
      </c>
      <c r="E63" s="181"/>
      <c r="F63" s="183"/>
    </row>
    <row r="64" spans="1:7" s="64" customFormat="1" x14ac:dyDescent="0.25">
      <c r="A64" s="334"/>
      <c r="B64" s="252" t="s">
        <v>355</v>
      </c>
      <c r="C64" s="253">
        <v>15</v>
      </c>
      <c r="D64" s="262" t="s">
        <v>205</v>
      </c>
      <c r="E64" s="181"/>
      <c r="F64" s="183"/>
    </row>
    <row r="65" spans="1:6" s="64" customFormat="1" x14ac:dyDescent="0.25">
      <c r="A65" s="334"/>
      <c r="B65" s="181" t="s">
        <v>356</v>
      </c>
      <c r="C65" s="192">
        <v>0.02</v>
      </c>
      <c r="D65" s="262" t="s">
        <v>205</v>
      </c>
      <c r="E65" s="181"/>
      <c r="F65" s="183"/>
    </row>
    <row r="66" spans="1:6" x14ac:dyDescent="0.25">
      <c r="A66" s="335"/>
      <c r="B66" s="254" t="s">
        <v>357</v>
      </c>
      <c r="C66" s="190">
        <v>0.42</v>
      </c>
      <c r="D66" s="260" t="s">
        <v>205</v>
      </c>
      <c r="E66" s="184"/>
      <c r="F66" s="186"/>
    </row>
    <row r="67" spans="1:6" ht="15.75" thickTop="1" x14ac:dyDescent="0.25">
      <c r="D67" s="63"/>
    </row>
    <row r="68" spans="1:6" x14ac:dyDescent="0.25">
      <c r="D68" s="63"/>
    </row>
    <row r="69" spans="1:6" x14ac:dyDescent="0.25">
      <c r="D69" s="63"/>
    </row>
    <row r="70" spans="1:6" x14ac:dyDescent="0.25">
      <c r="D70" s="63"/>
    </row>
  </sheetData>
  <mergeCells count="8">
    <mergeCell ref="A55:A59"/>
    <mergeCell ref="A61:A66"/>
    <mergeCell ref="A2:A8"/>
    <mergeCell ref="A9:A15"/>
    <mergeCell ref="A16:A20"/>
    <mergeCell ref="A21:A30"/>
    <mergeCell ref="A31:A39"/>
    <mergeCell ref="A46:A54"/>
  </mergeCells>
  <dataValidations count="1">
    <dataValidation type="list" allowBlank="1" showInputMessage="1" showErrorMessage="1" sqref="D2:D66" xr:uid="{0756554B-F743-4421-A2AF-1ED4816E05AF}">
      <formula1>$H$2:$H$5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2467B-F1D7-4858-8028-AD4831D82392}">
  <sheetPr>
    <tabColor rgb="FF92D050"/>
  </sheetPr>
  <dimension ref="A1:X24"/>
  <sheetViews>
    <sheetView showGridLines="0" topLeftCell="G1" workbookViewId="0">
      <selection activeCell="S2" sqref="S2"/>
    </sheetView>
  </sheetViews>
  <sheetFormatPr baseColWidth="10" defaultColWidth="11.42578125" defaultRowHeight="15" outlineLevelCol="1" x14ac:dyDescent="0.25"/>
  <cols>
    <col min="4" max="6" width="11.42578125" hidden="1" customWidth="1" outlineLevel="1"/>
    <col min="7" max="7" width="11.42578125" collapsed="1"/>
    <col min="11" max="18" width="11.42578125" customWidth="1" outlineLevel="1"/>
    <col min="19" max="19" width="11.7109375" bestFit="1" customWidth="1"/>
    <col min="23" max="23" width="14.5703125" bestFit="1" customWidth="1"/>
  </cols>
  <sheetData>
    <row r="1" spans="1:24" ht="48" x14ac:dyDescent="0.25">
      <c r="A1" s="212" t="s">
        <v>358</v>
      </c>
      <c r="B1" s="213" t="s">
        <v>359</v>
      </c>
      <c r="C1" s="213" t="s">
        <v>360</v>
      </c>
      <c r="D1" s="214" t="s">
        <v>361</v>
      </c>
      <c r="E1" s="214" t="s">
        <v>362</v>
      </c>
      <c r="F1" s="214" t="s">
        <v>363</v>
      </c>
      <c r="G1" s="215" t="s">
        <v>364</v>
      </c>
      <c r="H1" s="213" t="s">
        <v>365</v>
      </c>
      <c r="I1" s="214" t="s">
        <v>366</v>
      </c>
      <c r="J1" s="216" t="s">
        <v>367</v>
      </c>
      <c r="K1" s="216" t="s">
        <v>368</v>
      </c>
      <c r="L1" s="216" t="s">
        <v>369</v>
      </c>
      <c r="M1" s="216" t="s">
        <v>370</v>
      </c>
      <c r="N1" s="216" t="s">
        <v>371</v>
      </c>
      <c r="O1" s="216" t="s">
        <v>372</v>
      </c>
      <c r="P1" s="216" t="s">
        <v>373</v>
      </c>
      <c r="Q1" s="216" t="s">
        <v>374</v>
      </c>
      <c r="R1" s="216" t="s">
        <v>375</v>
      </c>
      <c r="S1" s="217" t="s">
        <v>376</v>
      </c>
      <c r="T1" s="217" t="s">
        <v>377</v>
      </c>
      <c r="U1" s="217" t="s">
        <v>378</v>
      </c>
      <c r="W1" s="76" t="s">
        <v>379</v>
      </c>
    </row>
    <row r="2" spans="1:24" x14ac:dyDescent="0.25">
      <c r="A2" s="226" t="s">
        <v>380</v>
      </c>
      <c r="B2" s="227">
        <v>227</v>
      </c>
      <c r="C2" s="227">
        <f>ROUND(B2*0.08,0)</f>
        <v>18</v>
      </c>
      <c r="D2" s="228"/>
      <c r="E2" s="228"/>
      <c r="F2" s="228"/>
      <c r="G2" s="229">
        <f>SUM(B2:F2)</f>
        <v>245</v>
      </c>
      <c r="H2" s="227">
        <f>+B2+C2-F2</f>
        <v>245</v>
      </c>
      <c r="I2" s="228">
        <f>+G2-H2</f>
        <v>0</v>
      </c>
      <c r="J2" s="229">
        <f t="shared" ref="J2:J8" si="0">SUM(K2:Q2)</f>
        <v>37</v>
      </c>
      <c r="K2" s="229">
        <v>21</v>
      </c>
      <c r="L2" s="229">
        <v>4</v>
      </c>
      <c r="M2" s="229">
        <v>3</v>
      </c>
      <c r="N2" s="229">
        <v>2</v>
      </c>
      <c r="O2" s="229">
        <v>7</v>
      </c>
      <c r="P2" s="229"/>
      <c r="Q2" s="229"/>
      <c r="R2" s="230">
        <f t="shared" ref="R2:R9" si="1">+H2/J2</f>
        <v>6.6216216216216219</v>
      </c>
      <c r="S2" s="231">
        <f>ROUND(H2/U2+H2/U2*0.118,0)</f>
        <v>39</v>
      </c>
      <c r="T2" s="232">
        <f>+S2-J2</f>
        <v>2</v>
      </c>
      <c r="U2" s="233">
        <v>7</v>
      </c>
      <c r="W2" s="71" t="s">
        <v>381</v>
      </c>
      <c r="X2" s="72"/>
    </row>
    <row r="3" spans="1:24" x14ac:dyDescent="0.25">
      <c r="A3" s="226" t="s">
        <v>382</v>
      </c>
      <c r="B3" s="227">
        <v>208</v>
      </c>
      <c r="C3" s="227">
        <f t="shared" ref="C3:C8" si="2">ROUND(B3*0.08,0)</f>
        <v>17</v>
      </c>
      <c r="D3" s="228"/>
      <c r="E3" s="228"/>
      <c r="F3" s="228"/>
      <c r="G3" s="229">
        <f t="shared" ref="G3:G8" si="3">SUM(B3:F3)</f>
        <v>225</v>
      </c>
      <c r="H3" s="227">
        <f t="shared" ref="H3:H8" si="4">+B3+C3-F3</f>
        <v>225</v>
      </c>
      <c r="I3" s="228">
        <f t="shared" ref="I3:I8" si="5">+G3-H3</f>
        <v>0</v>
      </c>
      <c r="J3" s="229">
        <f t="shared" si="0"/>
        <v>31</v>
      </c>
      <c r="K3" s="229">
        <v>18</v>
      </c>
      <c r="L3" s="229">
        <v>4</v>
      </c>
      <c r="M3" s="229">
        <v>2</v>
      </c>
      <c r="N3" s="229">
        <v>2</v>
      </c>
      <c r="O3" s="229">
        <v>4</v>
      </c>
      <c r="P3" s="229">
        <v>1</v>
      </c>
      <c r="Q3" s="229"/>
      <c r="R3" s="230">
        <f t="shared" si="1"/>
        <v>7.258064516129032</v>
      </c>
      <c r="S3" s="231">
        <f t="shared" ref="S3:S8" si="6">ROUND(H3/U3+H3/U3*0.118,0)</f>
        <v>36</v>
      </c>
      <c r="T3" s="234">
        <f t="shared" ref="T3:T8" si="7">+S3-J3</f>
        <v>5</v>
      </c>
      <c r="U3" s="233">
        <v>7</v>
      </c>
      <c r="W3" s="73">
        <f>227/34</f>
        <v>6.6764705882352944</v>
      </c>
      <c r="X3" s="72" t="s">
        <v>383</v>
      </c>
    </row>
    <row r="4" spans="1:24" x14ac:dyDescent="0.25">
      <c r="A4" s="235" t="s">
        <v>384</v>
      </c>
      <c r="B4" s="227">
        <v>131</v>
      </c>
      <c r="C4" s="227">
        <f t="shared" si="2"/>
        <v>10</v>
      </c>
      <c r="D4" s="228"/>
      <c r="E4" s="228"/>
      <c r="F4" s="228"/>
      <c r="G4" s="229">
        <f t="shared" si="3"/>
        <v>141</v>
      </c>
      <c r="H4" s="227">
        <f t="shared" si="4"/>
        <v>141</v>
      </c>
      <c r="I4" s="228">
        <f t="shared" si="5"/>
        <v>0</v>
      </c>
      <c r="J4" s="229">
        <f t="shared" si="0"/>
        <v>17</v>
      </c>
      <c r="K4" s="229">
        <v>8</v>
      </c>
      <c r="L4" s="229">
        <v>3</v>
      </c>
      <c r="M4" s="229">
        <v>2</v>
      </c>
      <c r="N4" s="229">
        <v>1</v>
      </c>
      <c r="O4" s="229">
        <v>3</v>
      </c>
      <c r="P4" s="229"/>
      <c r="Q4" s="229"/>
      <c r="R4" s="230">
        <f t="shared" si="1"/>
        <v>8.2941176470588243</v>
      </c>
      <c r="S4" s="231">
        <f t="shared" si="6"/>
        <v>23</v>
      </c>
      <c r="T4" s="236">
        <f t="shared" si="7"/>
        <v>6</v>
      </c>
      <c r="U4" s="233">
        <v>7</v>
      </c>
      <c r="W4" s="73">
        <f>227/29</f>
        <v>7.8275862068965516</v>
      </c>
      <c r="X4" s="72" t="s">
        <v>385</v>
      </c>
    </row>
    <row r="5" spans="1:24" x14ac:dyDescent="0.25">
      <c r="A5" s="235" t="s">
        <v>386</v>
      </c>
      <c r="B5" s="227">
        <v>121</v>
      </c>
      <c r="C5" s="227">
        <f t="shared" si="2"/>
        <v>10</v>
      </c>
      <c r="D5" s="228"/>
      <c r="E5" s="228"/>
      <c r="F5" s="228"/>
      <c r="G5" s="229">
        <f t="shared" si="3"/>
        <v>131</v>
      </c>
      <c r="H5" s="227">
        <f t="shared" si="4"/>
        <v>131</v>
      </c>
      <c r="I5" s="228">
        <f t="shared" si="5"/>
        <v>0</v>
      </c>
      <c r="J5" s="229">
        <f t="shared" si="0"/>
        <v>24</v>
      </c>
      <c r="K5" s="229">
        <v>13</v>
      </c>
      <c r="L5" s="229">
        <v>3</v>
      </c>
      <c r="M5" s="229">
        <v>2</v>
      </c>
      <c r="N5" s="229">
        <v>1</v>
      </c>
      <c r="O5" s="229">
        <v>3</v>
      </c>
      <c r="P5" s="229">
        <v>1</v>
      </c>
      <c r="Q5" s="229">
        <v>1</v>
      </c>
      <c r="R5" s="230">
        <f t="shared" si="1"/>
        <v>5.458333333333333</v>
      </c>
      <c r="S5" s="231">
        <f t="shared" si="6"/>
        <v>21</v>
      </c>
      <c r="T5" s="237">
        <f t="shared" si="7"/>
        <v>-3</v>
      </c>
      <c r="U5" s="233">
        <v>7</v>
      </c>
      <c r="W5" s="80">
        <v>7</v>
      </c>
      <c r="X5" s="72" t="s">
        <v>387</v>
      </c>
    </row>
    <row r="6" spans="1:24" x14ac:dyDescent="0.25">
      <c r="A6" s="235" t="s">
        <v>388</v>
      </c>
      <c r="B6" s="227">
        <v>111</v>
      </c>
      <c r="C6" s="227">
        <f t="shared" si="2"/>
        <v>9</v>
      </c>
      <c r="D6" s="228"/>
      <c r="E6" s="228"/>
      <c r="F6" s="228"/>
      <c r="G6" s="229">
        <f t="shared" si="3"/>
        <v>120</v>
      </c>
      <c r="H6" s="227">
        <f t="shared" si="4"/>
        <v>120</v>
      </c>
      <c r="I6" s="228">
        <f t="shared" si="5"/>
        <v>0</v>
      </c>
      <c r="J6" s="229">
        <f t="shared" si="0"/>
        <v>20</v>
      </c>
      <c r="K6" s="229">
        <v>10</v>
      </c>
      <c r="L6" s="229">
        <v>3</v>
      </c>
      <c r="M6" s="229">
        <v>1</v>
      </c>
      <c r="N6" s="229">
        <v>1</v>
      </c>
      <c r="O6" s="229">
        <f>6-3</f>
        <v>3</v>
      </c>
      <c r="P6" s="229"/>
      <c r="Q6" s="229">
        <v>2</v>
      </c>
      <c r="R6" s="230">
        <f t="shared" si="1"/>
        <v>6</v>
      </c>
      <c r="S6" s="231">
        <f t="shared" si="6"/>
        <v>19</v>
      </c>
      <c r="T6" s="237">
        <f t="shared" si="7"/>
        <v>-1</v>
      </c>
      <c r="U6" s="233">
        <v>7</v>
      </c>
      <c r="W6" s="74" t="s">
        <v>389</v>
      </c>
      <c r="X6" s="75"/>
    </row>
    <row r="7" spans="1:24" x14ac:dyDescent="0.25">
      <c r="A7" s="235" t="s">
        <v>390</v>
      </c>
      <c r="B7" s="227">
        <v>90</v>
      </c>
      <c r="C7" s="227">
        <f t="shared" si="2"/>
        <v>7</v>
      </c>
      <c r="D7" s="228"/>
      <c r="E7" s="228"/>
      <c r="F7" s="228"/>
      <c r="G7" s="229">
        <f t="shared" si="3"/>
        <v>97</v>
      </c>
      <c r="H7" s="227">
        <f t="shared" si="4"/>
        <v>97</v>
      </c>
      <c r="I7" s="228">
        <f t="shared" si="5"/>
        <v>0</v>
      </c>
      <c r="J7" s="229">
        <f t="shared" si="0"/>
        <v>23</v>
      </c>
      <c r="K7" s="229">
        <v>12</v>
      </c>
      <c r="L7" s="229">
        <v>2</v>
      </c>
      <c r="M7" s="229">
        <v>3</v>
      </c>
      <c r="N7" s="229">
        <v>2</v>
      </c>
      <c r="O7" s="229">
        <v>3</v>
      </c>
      <c r="P7" s="229">
        <v>1</v>
      </c>
      <c r="Q7" s="229"/>
      <c r="R7" s="230">
        <f t="shared" si="1"/>
        <v>4.2173913043478262</v>
      </c>
      <c r="S7" s="231">
        <f t="shared" si="6"/>
        <v>15</v>
      </c>
      <c r="T7" s="237">
        <f t="shared" si="7"/>
        <v>-8</v>
      </c>
      <c r="U7" s="233">
        <v>7</v>
      </c>
      <c r="W7" s="73">
        <f>227/38</f>
        <v>5.9736842105263159</v>
      </c>
      <c r="X7" s="72" t="s">
        <v>383</v>
      </c>
    </row>
    <row r="8" spans="1:24" x14ac:dyDescent="0.25">
      <c r="A8" s="235" t="s">
        <v>391</v>
      </c>
      <c r="B8" s="227">
        <v>109</v>
      </c>
      <c r="C8" s="227">
        <f t="shared" si="2"/>
        <v>9</v>
      </c>
      <c r="D8" s="228"/>
      <c r="E8" s="228"/>
      <c r="F8" s="228"/>
      <c r="G8" s="229">
        <f t="shared" si="3"/>
        <v>118</v>
      </c>
      <c r="H8" s="227">
        <f t="shared" si="4"/>
        <v>118</v>
      </c>
      <c r="I8" s="228">
        <f t="shared" si="5"/>
        <v>0</v>
      </c>
      <c r="J8" s="229">
        <f t="shared" si="0"/>
        <v>22</v>
      </c>
      <c r="K8" s="229">
        <v>11</v>
      </c>
      <c r="L8" s="229">
        <v>2</v>
      </c>
      <c r="M8" s="229">
        <f>4-1</f>
        <v>3</v>
      </c>
      <c r="N8" s="229">
        <v>1</v>
      </c>
      <c r="O8" s="229">
        <f>4-1</f>
        <v>3</v>
      </c>
      <c r="P8" s="229">
        <v>1</v>
      </c>
      <c r="Q8" s="229">
        <v>1</v>
      </c>
      <c r="R8" s="230">
        <f t="shared" si="1"/>
        <v>5.3636363636363633</v>
      </c>
      <c r="S8" s="231">
        <f t="shared" si="6"/>
        <v>19</v>
      </c>
      <c r="T8" s="237">
        <f t="shared" si="7"/>
        <v>-3</v>
      </c>
      <c r="U8" s="233">
        <v>7</v>
      </c>
      <c r="W8" s="73">
        <f>227/35</f>
        <v>6.4857142857142858</v>
      </c>
      <c r="X8" s="72" t="s">
        <v>385</v>
      </c>
    </row>
    <row r="9" spans="1:24" ht="27" x14ac:dyDescent="0.25">
      <c r="A9" s="218" t="s">
        <v>364</v>
      </c>
      <c r="B9" s="219">
        <f>SUM(B2:B8)</f>
        <v>997</v>
      </c>
      <c r="C9" s="219">
        <f>SUM(C2:C8)</f>
        <v>80</v>
      </c>
      <c r="D9" s="220">
        <f t="shared" ref="D9:T9" si="8">SUM(D2:D8)</f>
        <v>0</v>
      </c>
      <c r="E9" s="220">
        <f t="shared" si="8"/>
        <v>0</v>
      </c>
      <c r="F9" s="220">
        <f t="shared" si="8"/>
        <v>0</v>
      </c>
      <c r="G9" s="221">
        <f t="shared" si="8"/>
        <v>1077</v>
      </c>
      <c r="H9" s="222">
        <f t="shared" si="8"/>
        <v>1077</v>
      </c>
      <c r="I9" s="220">
        <f t="shared" si="8"/>
        <v>0</v>
      </c>
      <c r="J9" s="218">
        <f t="shared" si="8"/>
        <v>174</v>
      </c>
      <c r="K9" s="218">
        <f t="shared" ref="K9" si="9">SUM(K2:K8)</f>
        <v>93</v>
      </c>
      <c r="L9" s="218">
        <f t="shared" ref="L9" si="10">SUM(L2:L8)</f>
        <v>21</v>
      </c>
      <c r="M9" s="218">
        <f t="shared" ref="M9" si="11">SUM(M2:M8)</f>
        <v>16</v>
      </c>
      <c r="N9" s="218">
        <f t="shared" ref="N9" si="12">SUM(N2:N8)</f>
        <v>10</v>
      </c>
      <c r="O9" s="218">
        <f t="shared" ref="O9" si="13">SUM(O2:O8)</f>
        <v>26</v>
      </c>
      <c r="P9" s="218">
        <f t="shared" ref="P9" si="14">SUM(P2:P8)</f>
        <v>4</v>
      </c>
      <c r="Q9" s="218">
        <f t="shared" ref="Q9" si="15">SUM(Q2:Q8)</f>
        <v>4</v>
      </c>
      <c r="R9" s="223">
        <f t="shared" si="1"/>
        <v>6.1896551724137927</v>
      </c>
      <c r="S9" s="218">
        <f t="shared" si="8"/>
        <v>172</v>
      </c>
      <c r="T9" s="224">
        <f t="shared" si="8"/>
        <v>-2</v>
      </c>
      <c r="U9" s="225">
        <v>7</v>
      </c>
      <c r="W9" s="80">
        <f>210/(3+3+3+3+2+7+5+2+4+3+2+1+1+1+1+1+1+1)</f>
        <v>4.7727272727272725</v>
      </c>
      <c r="X9" s="72" t="s">
        <v>392</v>
      </c>
    </row>
    <row r="10" spans="1:24" x14ac:dyDescent="0.25">
      <c r="W10" s="77">
        <f>1/0.23</f>
        <v>4.3478260869565215</v>
      </c>
      <c r="X10" s="72" t="s">
        <v>393</v>
      </c>
    </row>
    <row r="11" spans="1:24" x14ac:dyDescent="0.25">
      <c r="W11" s="77">
        <f>1/0.26</f>
        <v>3.8461538461538458</v>
      </c>
      <c r="X11" s="72" t="s">
        <v>394</v>
      </c>
    </row>
    <row r="12" spans="1:24" x14ac:dyDescent="0.25">
      <c r="S12" s="78">
        <f>SUM(S13:S17)</f>
        <v>0.11492307692307693</v>
      </c>
      <c r="T12" t="s">
        <v>395</v>
      </c>
    </row>
    <row r="13" spans="1:24" x14ac:dyDescent="0.25">
      <c r="S13" s="81">
        <f>16/312</f>
        <v>5.128205128205128E-2</v>
      </c>
      <c r="T13" s="82" t="s">
        <v>396</v>
      </c>
      <c r="U13" s="82" t="s">
        <v>397</v>
      </c>
    </row>
    <row r="14" spans="1:24" x14ac:dyDescent="0.25">
      <c r="S14" s="79">
        <f>1/312</f>
        <v>3.205128205128205E-3</v>
      </c>
      <c r="T14" t="s">
        <v>398</v>
      </c>
      <c r="W14" s="83" t="s">
        <v>399</v>
      </c>
    </row>
    <row r="15" spans="1:24" x14ac:dyDescent="0.25">
      <c r="S15" s="81">
        <v>3.7999999999999999E-2</v>
      </c>
      <c r="T15" s="82" t="s">
        <v>400</v>
      </c>
      <c r="U15" s="82"/>
      <c r="V15" s="82"/>
      <c r="W15" s="70" t="s">
        <v>401</v>
      </c>
    </row>
    <row r="16" spans="1:24" x14ac:dyDescent="0.25">
      <c r="S16" s="79">
        <f>1/312</f>
        <v>3.205128205128205E-3</v>
      </c>
      <c r="T16" t="s">
        <v>402</v>
      </c>
      <c r="W16" t="s">
        <v>403</v>
      </c>
    </row>
    <row r="17" spans="19:23" x14ac:dyDescent="0.25">
      <c r="S17" s="79">
        <f>6/312</f>
        <v>1.9230769230769232E-2</v>
      </c>
      <c r="T17" t="s">
        <v>404</v>
      </c>
      <c r="W17" t="s">
        <v>405</v>
      </c>
    </row>
    <row r="18" spans="19:23" x14ac:dyDescent="0.25">
      <c r="W18" t="s">
        <v>406</v>
      </c>
    </row>
    <row r="20" spans="19:23" x14ac:dyDescent="0.25">
      <c r="W20" s="70" t="s">
        <v>407</v>
      </c>
    </row>
    <row r="21" spans="19:23" x14ac:dyDescent="0.25">
      <c r="W21" t="s">
        <v>403</v>
      </c>
    </row>
    <row r="22" spans="19:23" x14ac:dyDescent="0.25">
      <c r="W22" t="s">
        <v>405</v>
      </c>
    </row>
    <row r="23" spans="19:23" x14ac:dyDescent="0.25">
      <c r="W23" t="s">
        <v>406</v>
      </c>
    </row>
    <row r="24" spans="19:23" x14ac:dyDescent="0.25">
      <c r="W24" t="s">
        <v>408</v>
      </c>
    </row>
  </sheetData>
  <conditionalFormatting sqref="T2:T9">
    <cfRule type="cellIs" dxfId="18" priority="1" operator="lessThan">
      <formula>0</formula>
    </cfRule>
    <cfRule type="cellIs" dxfId="17" priority="2" operator="greaterThan">
      <formula>0</formula>
    </cfRule>
  </conditionalFormatting>
  <pageMargins left="0.7" right="0.7" top="0.75" bottom="0.75" header="0.3" footer="0.3"/>
  <pageSetup paperSize="256" orientation="portrait" horizontalDpi="203" verticalDpi="203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69D5-F4A1-48AE-9E0B-43D1A9EDCDD2}">
  <sheetPr>
    <tabColor rgb="FF92D050"/>
  </sheetPr>
  <dimension ref="A1:K9"/>
  <sheetViews>
    <sheetView showGridLines="0" workbookViewId="0">
      <selection activeCell="H10" sqref="H10"/>
    </sheetView>
  </sheetViews>
  <sheetFormatPr baseColWidth="10" defaultColWidth="11.42578125" defaultRowHeight="15" x14ac:dyDescent="0.25"/>
  <cols>
    <col min="10" max="10" width="11.7109375" bestFit="1" customWidth="1"/>
    <col min="11" max="11" width="48.140625" customWidth="1"/>
  </cols>
  <sheetData>
    <row r="1" spans="1:11" ht="36" x14ac:dyDescent="0.25">
      <c r="A1" s="212" t="s">
        <v>358</v>
      </c>
      <c r="B1" s="213" t="s">
        <v>359</v>
      </c>
      <c r="C1" s="213" t="s">
        <v>360</v>
      </c>
      <c r="D1" s="213" t="s">
        <v>365</v>
      </c>
      <c r="E1" s="215" t="s">
        <v>409</v>
      </c>
      <c r="F1" s="215" t="s">
        <v>410</v>
      </c>
      <c r="G1" s="213" t="s">
        <v>411</v>
      </c>
      <c r="H1" s="213" t="s">
        <v>412</v>
      </c>
      <c r="I1" s="216" t="s">
        <v>413</v>
      </c>
      <c r="J1" s="217" t="s">
        <v>414</v>
      </c>
      <c r="K1" s="238" t="s">
        <v>15</v>
      </c>
    </row>
    <row r="2" spans="1:11" x14ac:dyDescent="0.25">
      <c r="A2" s="226" t="s">
        <v>380</v>
      </c>
      <c r="B2" s="229">
        <v>227</v>
      </c>
      <c r="C2" s="229">
        <f>ROUND(B2*0.08,0)</f>
        <v>18</v>
      </c>
      <c r="D2" s="246">
        <f t="shared" ref="D2:D8" si="0">+C2+B2</f>
        <v>245</v>
      </c>
      <c r="E2" s="246">
        <f>ROUND((B2/25+2),0)</f>
        <v>11</v>
      </c>
      <c r="F2" s="246">
        <f>ROUND((E2*0.2+1),0)</f>
        <v>3</v>
      </c>
      <c r="G2" s="229">
        <v>11</v>
      </c>
      <c r="H2" s="229">
        <v>2</v>
      </c>
      <c r="I2" s="240">
        <f>+G2-E2</f>
        <v>0</v>
      </c>
      <c r="J2" s="241">
        <f>+H2-F2</f>
        <v>-1</v>
      </c>
      <c r="K2" s="242"/>
    </row>
    <row r="3" spans="1:11" x14ac:dyDescent="0.25">
      <c r="A3" s="226" t="s">
        <v>382</v>
      </c>
      <c r="B3" s="229">
        <v>208</v>
      </c>
      <c r="C3" s="229">
        <f t="shared" ref="C3:C8" si="1">ROUND(B3*0.08,0)</f>
        <v>17</v>
      </c>
      <c r="D3" s="246">
        <f t="shared" si="0"/>
        <v>225</v>
      </c>
      <c r="E3" s="246">
        <f t="shared" ref="E3:E8" si="2">ROUND((B3/25+2),0)</f>
        <v>10</v>
      </c>
      <c r="F3" s="246">
        <f t="shared" ref="F3:F8" si="3">ROUND((E3*0.2+1),0)</f>
        <v>3</v>
      </c>
      <c r="G3" s="229">
        <v>9</v>
      </c>
      <c r="H3" s="229">
        <v>2</v>
      </c>
      <c r="I3" s="240">
        <f t="shared" ref="I3:I8" si="4">+G3-E3</f>
        <v>-1</v>
      </c>
      <c r="J3" s="241">
        <f t="shared" ref="J3:J8" si="5">+H3-F3</f>
        <v>-1</v>
      </c>
      <c r="K3" s="243"/>
    </row>
    <row r="4" spans="1:11" x14ac:dyDescent="0.25">
      <c r="A4" s="235" t="s">
        <v>384</v>
      </c>
      <c r="B4" s="229">
        <v>131</v>
      </c>
      <c r="C4" s="229">
        <f t="shared" si="1"/>
        <v>10</v>
      </c>
      <c r="D4" s="246">
        <f t="shared" si="0"/>
        <v>141</v>
      </c>
      <c r="E4" s="246">
        <f t="shared" si="2"/>
        <v>7</v>
      </c>
      <c r="F4" s="246">
        <f t="shared" si="3"/>
        <v>2</v>
      </c>
      <c r="G4" s="229">
        <v>6</v>
      </c>
      <c r="H4" s="229">
        <v>2</v>
      </c>
      <c r="I4" s="240">
        <f t="shared" si="4"/>
        <v>-1</v>
      </c>
      <c r="J4" s="241">
        <f t="shared" si="5"/>
        <v>0</v>
      </c>
      <c r="K4" s="244"/>
    </row>
    <row r="5" spans="1:11" x14ac:dyDescent="0.25">
      <c r="A5" s="235" t="s">
        <v>386</v>
      </c>
      <c r="B5" s="229">
        <v>121</v>
      </c>
      <c r="C5" s="229">
        <f t="shared" si="1"/>
        <v>10</v>
      </c>
      <c r="D5" s="246">
        <f t="shared" si="0"/>
        <v>131</v>
      </c>
      <c r="E5" s="246">
        <f t="shared" si="2"/>
        <v>7</v>
      </c>
      <c r="F5" s="246">
        <f t="shared" si="3"/>
        <v>2</v>
      </c>
      <c r="G5" s="229">
        <v>7</v>
      </c>
      <c r="H5" s="229">
        <v>2</v>
      </c>
      <c r="I5" s="240">
        <f t="shared" si="4"/>
        <v>0</v>
      </c>
      <c r="J5" s="241">
        <f t="shared" si="5"/>
        <v>0</v>
      </c>
      <c r="K5" s="245"/>
    </row>
    <row r="6" spans="1:11" x14ac:dyDescent="0.25">
      <c r="A6" s="235" t="s">
        <v>388</v>
      </c>
      <c r="B6" s="229">
        <v>111</v>
      </c>
      <c r="C6" s="229">
        <f t="shared" si="1"/>
        <v>9</v>
      </c>
      <c r="D6" s="246">
        <f t="shared" si="0"/>
        <v>120</v>
      </c>
      <c r="E6" s="246">
        <f t="shared" si="2"/>
        <v>6</v>
      </c>
      <c r="F6" s="246">
        <f t="shared" si="3"/>
        <v>2</v>
      </c>
      <c r="G6" s="229">
        <v>5</v>
      </c>
      <c r="H6" s="229">
        <v>2</v>
      </c>
      <c r="I6" s="240">
        <f t="shared" si="4"/>
        <v>-1</v>
      </c>
      <c r="J6" s="241">
        <f t="shared" si="5"/>
        <v>0</v>
      </c>
      <c r="K6" s="245"/>
    </row>
    <row r="7" spans="1:11" x14ac:dyDescent="0.25">
      <c r="A7" s="235" t="s">
        <v>390</v>
      </c>
      <c r="B7" s="229">
        <v>90</v>
      </c>
      <c r="C7" s="229">
        <f t="shared" si="1"/>
        <v>7</v>
      </c>
      <c r="D7" s="246">
        <f t="shared" si="0"/>
        <v>97</v>
      </c>
      <c r="E7" s="246">
        <f t="shared" si="2"/>
        <v>6</v>
      </c>
      <c r="F7" s="246">
        <f t="shared" si="3"/>
        <v>2</v>
      </c>
      <c r="G7" s="229">
        <v>6</v>
      </c>
      <c r="H7" s="229">
        <v>1</v>
      </c>
      <c r="I7" s="240">
        <f t="shared" si="4"/>
        <v>0</v>
      </c>
      <c r="J7" s="241">
        <f t="shared" si="5"/>
        <v>-1</v>
      </c>
      <c r="K7" s="245"/>
    </row>
    <row r="8" spans="1:11" x14ac:dyDescent="0.25">
      <c r="A8" s="235" t="s">
        <v>391</v>
      </c>
      <c r="B8" s="229">
        <v>109</v>
      </c>
      <c r="C8" s="229">
        <f t="shared" si="1"/>
        <v>9</v>
      </c>
      <c r="D8" s="246">
        <f t="shared" si="0"/>
        <v>118</v>
      </c>
      <c r="E8" s="246">
        <f t="shared" si="2"/>
        <v>6</v>
      </c>
      <c r="F8" s="246">
        <f t="shared" si="3"/>
        <v>2</v>
      </c>
      <c r="G8" s="229">
        <v>6</v>
      </c>
      <c r="H8" s="229">
        <v>2</v>
      </c>
      <c r="I8" s="240">
        <f t="shared" si="4"/>
        <v>0</v>
      </c>
      <c r="J8" s="241">
        <f t="shared" si="5"/>
        <v>0</v>
      </c>
      <c r="K8" s="245"/>
    </row>
    <row r="9" spans="1:11" ht="27" x14ac:dyDescent="0.25">
      <c r="A9" s="218" t="s">
        <v>364</v>
      </c>
      <c r="B9" s="219">
        <f>SUM(B2:B8)</f>
        <v>997</v>
      </c>
      <c r="C9" s="219">
        <f>SUM(C2:C8)</f>
        <v>80</v>
      </c>
      <c r="D9" s="222">
        <f t="shared" ref="D9" si="6">SUM(D2:D8)</f>
        <v>1077</v>
      </c>
      <c r="E9" s="222">
        <f>SUM(E2:E8)</f>
        <v>53</v>
      </c>
      <c r="F9" s="222">
        <f t="shared" ref="F9:J9" si="7">SUM(F2:F8)</f>
        <v>16</v>
      </c>
      <c r="G9" s="222">
        <f t="shared" si="7"/>
        <v>50</v>
      </c>
      <c r="H9" s="222">
        <f t="shared" si="7"/>
        <v>13</v>
      </c>
      <c r="I9" s="218">
        <f t="shared" si="7"/>
        <v>-3</v>
      </c>
      <c r="J9" s="218">
        <f t="shared" si="7"/>
        <v>-3</v>
      </c>
      <c r="K9" s="239"/>
    </row>
  </sheetData>
  <conditionalFormatting sqref="I2:J9">
    <cfRule type="cellIs" dxfId="16" priority="1" operator="lessThan">
      <formula>0</formula>
    </cfRule>
    <cfRule type="cellIs" dxfId="15" priority="2" operator="greaterThan">
      <formula>0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2BA7-3066-48BD-A0B0-2F9CD50A9C43}">
  <dimension ref="A1:B1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39.28515625" customWidth="1"/>
    <col min="2" max="2" width="15.85546875" bestFit="1" customWidth="1"/>
  </cols>
  <sheetData>
    <row r="1" spans="1:2" ht="25.5" x14ac:dyDescent="0.25">
      <c r="A1" s="293" t="s">
        <v>415</v>
      </c>
      <c r="B1" t="s">
        <v>416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showGridLines="0" tabSelected="1" zoomScaleNormal="100" workbookViewId="0">
      <pane ySplit="2" topLeftCell="A32" activePane="bottomLeft" state="frozen"/>
      <selection pane="bottomLeft" activeCell="A42" sqref="A42:XFD49"/>
    </sheetView>
  </sheetViews>
  <sheetFormatPr baseColWidth="10" defaultColWidth="8.7109375" defaultRowHeight="15" x14ac:dyDescent="0.25"/>
  <cols>
    <col min="1" max="1" width="52.5703125" bestFit="1" customWidth="1"/>
    <col min="2" max="2" width="52.5703125" customWidth="1"/>
    <col min="3" max="3" width="25" customWidth="1"/>
    <col min="4" max="4" width="19" customWidth="1"/>
    <col min="5" max="5" width="36.85546875" customWidth="1"/>
    <col min="7" max="7" width="11.7109375" hidden="1" customWidth="1"/>
  </cols>
  <sheetData>
    <row r="1" spans="1:7" ht="21" x14ac:dyDescent="0.25">
      <c r="A1" s="326" t="s">
        <v>417</v>
      </c>
      <c r="B1" s="326"/>
      <c r="C1" s="326"/>
      <c r="D1" s="326"/>
      <c r="E1" s="326"/>
    </row>
    <row r="2" spans="1:7" x14ac:dyDescent="0.25">
      <c r="A2" s="327" t="s">
        <v>418</v>
      </c>
      <c r="B2" s="327"/>
      <c r="C2" s="327"/>
      <c r="D2" s="327"/>
      <c r="E2" s="327"/>
    </row>
    <row r="4" spans="1:7" ht="15.75" x14ac:dyDescent="0.25">
      <c r="A4" s="328" t="s">
        <v>419</v>
      </c>
      <c r="B4" s="328"/>
      <c r="C4" s="328"/>
      <c r="D4" s="328"/>
      <c r="E4" s="328"/>
    </row>
    <row r="5" spans="1:7" x14ac:dyDescent="0.25">
      <c r="A5" s="1" t="s">
        <v>68</v>
      </c>
      <c r="B5" s="1" t="s">
        <v>420</v>
      </c>
      <c r="C5" s="269" t="s">
        <v>421</v>
      </c>
      <c r="D5" s="1" t="s">
        <v>422</v>
      </c>
      <c r="E5" s="1" t="s">
        <v>201</v>
      </c>
      <c r="G5" s="269" t="s">
        <v>421</v>
      </c>
    </row>
    <row r="6" spans="1:7" ht="25.5" x14ac:dyDescent="0.25">
      <c r="A6" s="321" t="s">
        <v>423</v>
      </c>
      <c r="B6" s="292" t="s">
        <v>424</v>
      </c>
      <c r="C6" s="268" t="s">
        <v>425</v>
      </c>
      <c r="D6" s="291" t="s">
        <v>426</v>
      </c>
      <c r="E6" s="322" t="s">
        <v>450</v>
      </c>
      <c r="G6" s="268" t="s">
        <v>425</v>
      </c>
    </row>
    <row r="7" spans="1:7" x14ac:dyDescent="0.25">
      <c r="A7" s="323" t="s">
        <v>427</v>
      </c>
      <c r="B7" s="293" t="s">
        <v>428</v>
      </c>
      <c r="C7" s="268" t="s">
        <v>425</v>
      </c>
      <c r="D7" s="294" t="s">
        <v>429</v>
      </c>
      <c r="E7" s="322" t="s">
        <v>455</v>
      </c>
      <c r="G7" s="268" t="s">
        <v>430</v>
      </c>
    </row>
    <row r="8" spans="1:7" x14ac:dyDescent="0.25">
      <c r="A8" s="321" t="s">
        <v>431</v>
      </c>
      <c r="B8" s="292" t="s">
        <v>432</v>
      </c>
      <c r="C8" s="268" t="s">
        <v>425</v>
      </c>
      <c r="D8" s="291" t="s">
        <v>426</v>
      </c>
      <c r="E8" s="322" t="s">
        <v>450</v>
      </c>
      <c r="G8" s="286" t="s">
        <v>433</v>
      </c>
    </row>
    <row r="9" spans="1:7" x14ac:dyDescent="0.25">
      <c r="A9" s="323" t="s">
        <v>434</v>
      </c>
      <c r="B9" s="293" t="s">
        <v>435</v>
      </c>
      <c r="C9" s="268" t="s">
        <v>430</v>
      </c>
      <c r="D9" s="294" t="s">
        <v>436</v>
      </c>
      <c r="E9" s="322" t="s">
        <v>450</v>
      </c>
    </row>
    <row r="10" spans="1:7" x14ac:dyDescent="0.25">
      <c r="A10" s="321" t="s">
        <v>437</v>
      </c>
      <c r="B10" s="292" t="s">
        <v>438</v>
      </c>
      <c r="C10" s="268" t="s">
        <v>425</v>
      </c>
      <c r="D10" s="291" t="s">
        <v>426</v>
      </c>
      <c r="E10" s="322" t="s">
        <v>450</v>
      </c>
    </row>
    <row r="11" spans="1:7" x14ac:dyDescent="0.25">
      <c r="A11" s="323" t="s">
        <v>439</v>
      </c>
      <c r="B11" s="293" t="s">
        <v>440</v>
      </c>
      <c r="C11" s="268" t="s">
        <v>425</v>
      </c>
      <c r="D11" s="294" t="s">
        <v>441</v>
      </c>
      <c r="E11" s="322" t="s">
        <v>455</v>
      </c>
    </row>
    <row r="13" spans="1:7" ht="15.75" x14ac:dyDescent="0.25">
      <c r="A13" s="328" t="s">
        <v>442</v>
      </c>
      <c r="B13" s="328"/>
      <c r="C13" s="328"/>
      <c r="D13" s="328"/>
      <c r="E13" s="328"/>
    </row>
    <row r="14" spans="1:7" x14ac:dyDescent="0.25">
      <c r="A14" s="1" t="s">
        <v>443</v>
      </c>
      <c r="B14" s="1" t="s">
        <v>444</v>
      </c>
      <c r="C14" s="1" t="s">
        <v>11</v>
      </c>
      <c r="D14" s="1" t="s">
        <v>445</v>
      </c>
      <c r="E14" s="1" t="s">
        <v>201</v>
      </c>
      <c r="G14" s="1" t="s">
        <v>201</v>
      </c>
    </row>
    <row r="15" spans="1:7" ht="51" x14ac:dyDescent="0.25">
      <c r="A15" s="2" t="s">
        <v>446</v>
      </c>
      <c r="B15" s="3" t="s">
        <v>447</v>
      </c>
      <c r="C15" s="4" t="s">
        <v>448</v>
      </c>
      <c r="D15" s="4" t="s">
        <v>449</v>
      </c>
      <c r="E15" s="3" t="s">
        <v>450</v>
      </c>
      <c r="G15" s="274" t="s">
        <v>450</v>
      </c>
    </row>
    <row r="16" spans="1:7" ht="63.75" x14ac:dyDescent="0.25">
      <c r="A16" s="5" t="s">
        <v>451</v>
      </c>
      <c r="B16" s="6" t="s">
        <v>452</v>
      </c>
      <c r="C16" s="7" t="s">
        <v>453</v>
      </c>
      <c r="D16" s="7" t="s">
        <v>454</v>
      </c>
      <c r="E16" s="6" t="s">
        <v>455</v>
      </c>
      <c r="G16" s="274" t="s">
        <v>455</v>
      </c>
    </row>
    <row r="17" spans="1:7" ht="51" x14ac:dyDescent="0.25">
      <c r="A17" s="2" t="s">
        <v>456</v>
      </c>
      <c r="B17" s="3" t="s">
        <v>457</v>
      </c>
      <c r="C17" s="4" t="s">
        <v>458</v>
      </c>
      <c r="D17" s="4" t="s">
        <v>459</v>
      </c>
      <c r="E17" s="3" t="s">
        <v>455</v>
      </c>
      <c r="G17" s="250" t="s">
        <v>460</v>
      </c>
    </row>
    <row r="19" spans="1:7" ht="15.75" x14ac:dyDescent="0.25">
      <c r="A19" s="328" t="s">
        <v>461</v>
      </c>
      <c r="B19" s="328"/>
      <c r="C19" s="328"/>
      <c r="D19" s="328"/>
      <c r="E19" s="328"/>
    </row>
    <row r="20" spans="1:7" x14ac:dyDescent="0.25">
      <c r="A20" s="1" t="s">
        <v>462</v>
      </c>
      <c r="B20" s="1" t="s">
        <v>463</v>
      </c>
      <c r="C20" s="1" t="s">
        <v>464</v>
      </c>
      <c r="D20" s="1" t="s">
        <v>201</v>
      </c>
      <c r="E20" s="1" t="s">
        <v>466</v>
      </c>
      <c r="G20" s="1" t="s">
        <v>465</v>
      </c>
    </row>
    <row r="21" spans="1:7" s="248" customFormat="1" ht="15.75" x14ac:dyDescent="0.25">
      <c r="A21" s="4" t="s">
        <v>467</v>
      </c>
      <c r="B21" s="280">
        <v>0.9</v>
      </c>
      <c r="C21" s="280">
        <v>0.92</v>
      </c>
      <c r="D21" s="276" t="str">
        <f>IF(B21&lt;=C21,"🔴",IF(B21&lt;=C21*0.95,"🟡","🟢"))</f>
        <v>🔴</v>
      </c>
      <c r="E21" s="4"/>
      <c r="G21" s="249" t="s">
        <v>205</v>
      </c>
    </row>
    <row r="22" spans="1:7" s="248" customFormat="1" ht="15.75" x14ac:dyDescent="0.25">
      <c r="A22" s="7" t="s">
        <v>468</v>
      </c>
      <c r="B22" s="282">
        <v>0.7</v>
      </c>
      <c r="C22" s="281">
        <v>0.85</v>
      </c>
      <c r="D22" s="277" t="str">
        <f>IF(B22&lt;=C22,"🔴",IF(B22&lt;=C22*0.95,"🟡","🟢"))</f>
        <v>🔴</v>
      </c>
      <c r="E22" s="7" t="s">
        <v>469</v>
      </c>
      <c r="G22" s="250" t="s">
        <v>211</v>
      </c>
    </row>
    <row r="23" spans="1:7" s="248" customFormat="1" ht="15.75" x14ac:dyDescent="0.25">
      <c r="A23" s="4" t="s">
        <v>470</v>
      </c>
      <c r="B23" s="3">
        <v>12</v>
      </c>
      <c r="C23" s="3" t="s">
        <v>471</v>
      </c>
      <c r="D23" s="276" t="str">
        <f t="shared" ref="D23:D25" si="0">IF(B23&gt;=C23,"🔴",IF(B23&gt;=C23*0.95,"🟡","🟢"))</f>
        <v>🟡</v>
      </c>
      <c r="E23" s="4" t="s">
        <v>472</v>
      </c>
      <c r="G23" s="251" t="s">
        <v>215</v>
      </c>
    </row>
    <row r="24" spans="1:7" s="248" customFormat="1" x14ac:dyDescent="0.25">
      <c r="A24" s="7" t="s">
        <v>473</v>
      </c>
      <c r="B24" s="6">
        <v>1.92</v>
      </c>
      <c r="C24" s="6">
        <v>1.8</v>
      </c>
      <c r="D24" s="278" t="str">
        <f t="shared" si="0"/>
        <v>🔴</v>
      </c>
      <c r="E24" s="7"/>
    </row>
    <row r="25" spans="1:7" s="248" customFormat="1" x14ac:dyDescent="0.25">
      <c r="A25" s="299" t="s">
        <v>474</v>
      </c>
      <c r="B25" s="302">
        <v>140000</v>
      </c>
      <c r="C25" s="302">
        <v>150000</v>
      </c>
      <c r="D25" s="300" t="str">
        <f t="shared" si="0"/>
        <v>🟢</v>
      </c>
      <c r="E25" s="299"/>
    </row>
    <row r="26" spans="1:7" s="248" customFormat="1" x14ac:dyDescent="0.25">
      <c r="A26" s="301" t="s">
        <v>475</v>
      </c>
      <c r="B26" s="303">
        <v>200000</v>
      </c>
      <c r="C26" s="303">
        <v>220000</v>
      </c>
      <c r="D26" s="277" t="str">
        <f>IF(B26&gt;=C26,"🔴",IF(B26&gt;=C26*0.95,"🟡","🟢"))</f>
        <v>🟢</v>
      </c>
      <c r="E26" s="301"/>
    </row>
    <row r="28" spans="1:7" ht="15.75" x14ac:dyDescent="0.25">
      <c r="A28" s="324" t="s">
        <v>476</v>
      </c>
      <c r="B28" s="324"/>
      <c r="C28" s="324"/>
      <c r="D28" s="324"/>
      <c r="E28" s="324"/>
    </row>
    <row r="29" spans="1:7" x14ac:dyDescent="0.25">
      <c r="A29" s="1" t="s">
        <v>477</v>
      </c>
      <c r="B29" s="1" t="s">
        <v>478</v>
      </c>
      <c r="C29" s="1" t="s">
        <v>479</v>
      </c>
      <c r="D29" s="1" t="s">
        <v>480</v>
      </c>
      <c r="E29" s="1"/>
    </row>
    <row r="30" spans="1:7" x14ac:dyDescent="0.25">
      <c r="A30" s="4" t="s">
        <v>481</v>
      </c>
      <c r="B30" s="3" t="s">
        <v>425</v>
      </c>
      <c r="C30" s="275" t="s">
        <v>482</v>
      </c>
      <c r="D30" s="3" t="s">
        <v>483</v>
      </c>
    </row>
    <row r="31" spans="1:7" x14ac:dyDescent="0.25">
      <c r="A31" s="7" t="s">
        <v>484</v>
      </c>
      <c r="B31" s="6" t="s">
        <v>430</v>
      </c>
      <c r="C31" s="6" t="s">
        <v>482</v>
      </c>
      <c r="D31" s="6" t="s">
        <v>483</v>
      </c>
    </row>
    <row r="32" spans="1:7" x14ac:dyDescent="0.25">
      <c r="A32" s="4" t="s">
        <v>485</v>
      </c>
      <c r="B32" s="3" t="s">
        <v>425</v>
      </c>
      <c r="C32" s="3" t="s">
        <v>482</v>
      </c>
      <c r="D32" s="3" t="s">
        <v>483</v>
      </c>
    </row>
    <row r="33" spans="1:5" x14ac:dyDescent="0.25">
      <c r="A33" s="7" t="s">
        <v>486</v>
      </c>
      <c r="B33" s="6" t="s">
        <v>425</v>
      </c>
      <c r="C33" s="6" t="s">
        <v>487</v>
      </c>
      <c r="D33" s="6" t="s">
        <v>488</v>
      </c>
    </row>
    <row r="35" spans="1:5" ht="15.75" x14ac:dyDescent="0.25">
      <c r="A35" s="325" t="s">
        <v>489</v>
      </c>
      <c r="B35" s="325"/>
      <c r="C35" s="325"/>
      <c r="D35" s="325"/>
      <c r="E35" s="325"/>
    </row>
    <row r="36" spans="1:5" x14ac:dyDescent="0.25">
      <c r="A36" s="1" t="s">
        <v>68</v>
      </c>
      <c r="B36" s="1" t="s">
        <v>421</v>
      </c>
      <c r="C36" s="1" t="s">
        <v>490</v>
      </c>
      <c r="D36" s="1" t="s">
        <v>422</v>
      </c>
      <c r="E36" s="1"/>
    </row>
    <row r="37" spans="1:5" s="248" customFormat="1" ht="25.5" x14ac:dyDescent="0.25">
      <c r="A37" s="2" t="s">
        <v>491</v>
      </c>
      <c r="B37" s="4" t="s">
        <v>492</v>
      </c>
      <c r="C37" s="4" t="s">
        <v>493</v>
      </c>
      <c r="D37" s="3" t="s">
        <v>494</v>
      </c>
    </row>
    <row r="38" spans="1:5" s="248" customFormat="1" x14ac:dyDescent="0.25">
      <c r="A38" s="5" t="s">
        <v>495</v>
      </c>
      <c r="B38" s="7" t="s">
        <v>496</v>
      </c>
      <c r="C38" s="7" t="s">
        <v>497</v>
      </c>
      <c r="D38" s="6" t="s">
        <v>498</v>
      </c>
    </row>
    <row r="39" spans="1:5" s="248" customFormat="1" x14ac:dyDescent="0.25">
      <c r="A39" s="2" t="s">
        <v>499</v>
      </c>
      <c r="B39" s="4" t="s">
        <v>500</v>
      </c>
      <c r="C39" s="4" t="s">
        <v>501</v>
      </c>
      <c r="D39" s="3" t="s">
        <v>502</v>
      </c>
    </row>
    <row r="40" spans="1:5" s="248" customFormat="1" x14ac:dyDescent="0.25">
      <c r="A40" s="5" t="s">
        <v>503</v>
      </c>
      <c r="B40" s="7" t="s">
        <v>504</v>
      </c>
      <c r="C40" s="7" t="s">
        <v>493</v>
      </c>
      <c r="D40" s="6" t="s">
        <v>502</v>
      </c>
    </row>
    <row r="41" spans="1:5" s="248" customFormat="1" ht="25.5" x14ac:dyDescent="0.25">
      <c r="A41" s="2" t="s">
        <v>505</v>
      </c>
      <c r="B41" s="4" t="s">
        <v>506</v>
      </c>
      <c r="C41" s="4" t="s">
        <v>493</v>
      </c>
      <c r="D41" s="3" t="s">
        <v>507</v>
      </c>
    </row>
    <row r="42" spans="1:5" s="248" customFormat="1" hidden="1" x14ac:dyDescent="0.25"/>
    <row r="43" spans="1:5" s="248" customFormat="1" hidden="1" x14ac:dyDescent="0.25">
      <c r="D43" s="248">
        <f>8*0.95</f>
        <v>7.6</v>
      </c>
    </row>
    <row r="44" spans="1:5" hidden="1" x14ac:dyDescent="0.25"/>
    <row r="45" spans="1:5" hidden="1" x14ac:dyDescent="0.25"/>
    <row r="46" spans="1:5" hidden="1" x14ac:dyDescent="0.25"/>
    <row r="47" spans="1:5" hidden="1" x14ac:dyDescent="0.25">
      <c r="A47" t="s">
        <v>508</v>
      </c>
    </row>
    <row r="48" spans="1:5" hidden="1" x14ac:dyDescent="0.25"/>
    <row r="49" hidden="1" x14ac:dyDescent="0.25"/>
  </sheetData>
  <mergeCells count="7">
    <mergeCell ref="A28:E28"/>
    <mergeCell ref="A35:E35"/>
    <mergeCell ref="A1:E1"/>
    <mergeCell ref="A2:E2"/>
    <mergeCell ref="A4:E4"/>
    <mergeCell ref="A13:E13"/>
    <mergeCell ref="A19:E19"/>
  </mergeCells>
  <conditionalFormatting sqref="C6:C11">
    <cfRule type="expression" dxfId="14" priority="10">
      <formula>C6="Alta"</formula>
    </cfRule>
    <cfRule type="expression" dxfId="13" priority="11">
      <formula>C6="Media"</formula>
    </cfRule>
    <cfRule type="expression" dxfId="12" priority="12">
      <formula>C6="Baja"</formula>
    </cfRule>
  </conditionalFormatting>
  <conditionalFormatting sqref="G6:G7">
    <cfRule type="expression" dxfId="11" priority="4">
      <formula>G6="Alta"</formula>
    </cfRule>
    <cfRule type="expression" dxfId="10" priority="5">
      <formula>G6="Media"</formula>
    </cfRule>
    <cfRule type="expression" dxfId="9" priority="6">
      <formula>G6="Baja"</formula>
    </cfRule>
  </conditionalFormatting>
  <conditionalFormatting sqref="G8">
    <cfRule type="expression" dxfId="8" priority="1">
      <formula>G8="Básico"</formula>
    </cfRule>
    <cfRule type="expression" dxfId="7" priority="2">
      <formula>G8="Intermedio"</formula>
    </cfRule>
    <cfRule type="expression" dxfId="6" priority="3">
      <formula>G8="Avanzado"</formula>
    </cfRule>
  </conditionalFormatting>
  <dataValidations count="3">
    <dataValidation type="list" allowBlank="1" showInputMessage="1" showErrorMessage="1" sqref="E15:E17" xr:uid="{5103BC54-E97D-4CE5-AA20-7CBD88E98912}">
      <formula1>$G$15:$G$17</formula1>
    </dataValidation>
    <dataValidation allowBlank="1" showInputMessage="1" showErrorMessage="1" sqref="G8 D21:D26" xr:uid="{1BE01E91-65F4-42A7-96D6-06CBBBDE4537}"/>
    <dataValidation type="list" allowBlank="1" showInputMessage="1" showErrorMessage="1" sqref="C6:C11" xr:uid="{E8324A6B-3899-4F3D-9E41-FB83FC1DCB22}">
      <formula1>$G$6:$G$8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showGridLines="0" zoomScaleNormal="100" workbookViewId="0">
      <pane ySplit="2" topLeftCell="A3" activePane="bottomLeft" state="frozen"/>
      <selection pane="bottomLeft" activeCell="A2" sqref="A2"/>
    </sheetView>
  </sheetViews>
  <sheetFormatPr baseColWidth="10" defaultColWidth="8.7109375" defaultRowHeight="15" x14ac:dyDescent="0.25"/>
  <cols>
    <col min="1" max="1" width="10" customWidth="1"/>
    <col min="2" max="2" width="8" customWidth="1"/>
    <col min="3" max="4" width="38" customWidth="1"/>
    <col min="5" max="5" width="22" customWidth="1"/>
    <col min="6" max="7" width="13" customWidth="1"/>
    <col min="8" max="9" width="10" customWidth="1"/>
    <col min="10" max="10" width="14" customWidth="1"/>
    <col min="11" max="11" width="32" customWidth="1"/>
    <col min="12" max="12" width="28" customWidth="1"/>
    <col min="14" max="14" width="8.7109375" hidden="1" customWidth="1"/>
  </cols>
  <sheetData>
    <row r="1" spans="1:14" ht="31.5" customHeight="1" x14ac:dyDescent="0.25">
      <c r="A1" s="337" t="s">
        <v>509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</row>
    <row r="2" spans="1:14" ht="21.75" customHeight="1" x14ac:dyDescent="0.25">
      <c r="A2" s="1" t="s">
        <v>443</v>
      </c>
      <c r="B2" s="1" t="s">
        <v>510</v>
      </c>
      <c r="C2" s="1" t="s">
        <v>511</v>
      </c>
      <c r="D2" s="1" t="s">
        <v>420</v>
      </c>
      <c r="E2" s="1" t="s">
        <v>490</v>
      </c>
      <c r="F2" s="1" t="s">
        <v>512</v>
      </c>
      <c r="G2" s="1" t="s">
        <v>513</v>
      </c>
      <c r="H2" s="269" t="s">
        <v>421</v>
      </c>
      <c r="I2" s="1" t="s">
        <v>514</v>
      </c>
      <c r="J2" s="1" t="s">
        <v>201</v>
      </c>
      <c r="K2" s="1" t="s">
        <v>515</v>
      </c>
      <c r="L2" s="1" t="s">
        <v>15</v>
      </c>
      <c r="N2" s="1" t="s">
        <v>514</v>
      </c>
    </row>
    <row r="3" spans="1:14" ht="21.75" customHeight="1" x14ac:dyDescent="0.25">
      <c r="A3" s="8" t="s">
        <v>446</v>
      </c>
      <c r="B3" s="8" t="s">
        <v>516</v>
      </c>
      <c r="C3" s="9" t="s">
        <v>517</v>
      </c>
      <c r="D3" s="9" t="s">
        <v>518</v>
      </c>
      <c r="E3" s="9" t="s">
        <v>493</v>
      </c>
      <c r="F3" s="10">
        <v>46204</v>
      </c>
      <c r="G3" s="270">
        <v>46206</v>
      </c>
      <c r="H3" s="268" t="s">
        <v>425</v>
      </c>
      <c r="I3" s="11">
        <v>1</v>
      </c>
      <c r="J3" s="267" t="str">
        <f>IF(I3&gt;=1,"Completado",IF(I3&gt;0,"En Proceso","Pendiente"))</f>
        <v>Completado</v>
      </c>
      <c r="K3" s="9" t="s">
        <v>519</v>
      </c>
      <c r="L3" s="9"/>
      <c r="N3" s="11">
        <v>0</v>
      </c>
    </row>
    <row r="4" spans="1:14" ht="21.75" customHeight="1" x14ac:dyDescent="0.25">
      <c r="A4" s="8" t="s">
        <v>446</v>
      </c>
      <c r="B4" s="8" t="s">
        <v>516</v>
      </c>
      <c r="C4" s="9" t="s">
        <v>520</v>
      </c>
      <c r="D4" s="9" t="s">
        <v>521</v>
      </c>
      <c r="E4" s="9" t="s">
        <v>493</v>
      </c>
      <c r="F4" s="10">
        <v>46205</v>
      </c>
      <c r="G4" s="270">
        <v>46209</v>
      </c>
      <c r="H4" s="268" t="s">
        <v>425</v>
      </c>
      <c r="I4" s="11">
        <v>0.5</v>
      </c>
      <c r="J4" s="8" t="str">
        <f t="shared" ref="J4:J25" si="0">IF(I4&gt;=1,"Completado",IF(I4&gt;0,"En Proceso","Pendiente"))</f>
        <v>En Proceso</v>
      </c>
      <c r="K4" s="9" t="s">
        <v>522</v>
      </c>
      <c r="L4" s="9" t="s">
        <v>523</v>
      </c>
      <c r="N4" s="11">
        <v>0.25</v>
      </c>
    </row>
    <row r="5" spans="1:14" ht="21.75" customHeight="1" x14ac:dyDescent="0.25">
      <c r="A5" s="8" t="s">
        <v>446</v>
      </c>
      <c r="B5" s="8" t="s">
        <v>516</v>
      </c>
      <c r="C5" s="9" t="s">
        <v>524</v>
      </c>
      <c r="D5" s="9" t="s">
        <v>525</v>
      </c>
      <c r="E5" s="9" t="s">
        <v>501</v>
      </c>
      <c r="F5" s="10">
        <v>46204</v>
      </c>
      <c r="G5" s="270">
        <v>46211</v>
      </c>
      <c r="H5" s="268" t="s">
        <v>430</v>
      </c>
      <c r="I5" s="11">
        <v>0.5</v>
      </c>
      <c r="J5" s="8" t="str">
        <f t="shared" si="0"/>
        <v>En Proceso</v>
      </c>
      <c r="K5" s="9" t="s">
        <v>526</v>
      </c>
      <c r="L5" s="9"/>
      <c r="N5" s="11">
        <v>0.75</v>
      </c>
    </row>
    <row r="6" spans="1:14" ht="21.75" customHeight="1" x14ac:dyDescent="0.25">
      <c r="A6" s="8" t="s">
        <v>446</v>
      </c>
      <c r="B6" s="8" t="s">
        <v>527</v>
      </c>
      <c r="C6" s="9" t="s">
        <v>528</v>
      </c>
      <c r="D6" s="9" t="s">
        <v>529</v>
      </c>
      <c r="E6" s="9" t="s">
        <v>530</v>
      </c>
      <c r="F6" s="10">
        <v>46211</v>
      </c>
      <c r="G6" s="270">
        <v>46218</v>
      </c>
      <c r="H6" s="268" t="s">
        <v>425</v>
      </c>
      <c r="I6" s="11">
        <v>0</v>
      </c>
      <c r="J6" s="8" t="str">
        <f t="shared" si="0"/>
        <v>Pendiente</v>
      </c>
      <c r="K6" s="9" t="s">
        <v>531</v>
      </c>
      <c r="L6" s="9" t="s">
        <v>532</v>
      </c>
      <c r="N6" s="11">
        <v>1</v>
      </c>
    </row>
    <row r="7" spans="1:14" ht="21.75" customHeight="1" x14ac:dyDescent="0.25">
      <c r="A7" s="8" t="s">
        <v>446</v>
      </c>
      <c r="B7" s="8" t="s">
        <v>527</v>
      </c>
      <c r="C7" s="9" t="s">
        <v>533</v>
      </c>
      <c r="D7" s="9" t="s">
        <v>534</v>
      </c>
      <c r="E7" s="9" t="s">
        <v>535</v>
      </c>
      <c r="F7" s="10">
        <v>46211</v>
      </c>
      <c r="G7" s="270">
        <v>46218</v>
      </c>
      <c r="H7" s="268" t="s">
        <v>425</v>
      </c>
      <c r="I7" s="11">
        <v>0.5</v>
      </c>
      <c r="J7" s="8" t="str">
        <f t="shared" si="0"/>
        <v>En Proceso</v>
      </c>
      <c r="K7" s="9" t="s">
        <v>536</v>
      </c>
      <c r="L7" s="9"/>
    </row>
    <row r="8" spans="1:14" ht="21.75" customHeight="1" x14ac:dyDescent="0.25">
      <c r="A8" s="8" t="s">
        <v>446</v>
      </c>
      <c r="B8" s="8" t="s">
        <v>537</v>
      </c>
      <c r="C8" s="9" t="s">
        <v>538</v>
      </c>
      <c r="D8" s="9" t="s">
        <v>539</v>
      </c>
      <c r="E8" s="9" t="s">
        <v>501</v>
      </c>
      <c r="F8" s="10">
        <v>46218</v>
      </c>
      <c r="G8" s="270">
        <v>46225</v>
      </c>
      <c r="H8" s="268" t="s">
        <v>425</v>
      </c>
      <c r="I8" s="11">
        <v>1</v>
      </c>
      <c r="J8" s="8" t="str">
        <f t="shared" si="0"/>
        <v>Completado</v>
      </c>
      <c r="K8" s="9" t="s">
        <v>540</v>
      </c>
      <c r="L8" s="9"/>
    </row>
    <row r="9" spans="1:14" ht="25.5" x14ac:dyDescent="0.25">
      <c r="A9" s="8" t="s">
        <v>446</v>
      </c>
      <c r="B9" s="8" t="s">
        <v>537</v>
      </c>
      <c r="C9" s="9" t="s">
        <v>541</v>
      </c>
      <c r="D9" s="9" t="s">
        <v>542</v>
      </c>
      <c r="E9" s="9" t="s">
        <v>493</v>
      </c>
      <c r="F9" s="10">
        <v>46218</v>
      </c>
      <c r="G9" s="270">
        <v>46225</v>
      </c>
      <c r="H9" s="268" t="s">
        <v>425</v>
      </c>
      <c r="I9" s="11">
        <v>0</v>
      </c>
      <c r="J9" s="8" t="str">
        <f t="shared" si="0"/>
        <v>Pendiente</v>
      </c>
      <c r="K9" s="9" t="s">
        <v>543</v>
      </c>
      <c r="L9" s="9"/>
    </row>
    <row r="10" spans="1:14" ht="21.75" customHeight="1" x14ac:dyDescent="0.25">
      <c r="A10" s="8" t="s">
        <v>446</v>
      </c>
      <c r="B10" s="8" t="s">
        <v>537</v>
      </c>
      <c r="C10" s="9" t="s">
        <v>544</v>
      </c>
      <c r="D10" s="9" t="s">
        <v>545</v>
      </c>
      <c r="E10" s="9" t="s">
        <v>493</v>
      </c>
      <c r="F10" s="10">
        <v>46218</v>
      </c>
      <c r="G10" s="270">
        <v>46225</v>
      </c>
      <c r="H10" s="268" t="s">
        <v>430</v>
      </c>
      <c r="I10" s="11">
        <v>0</v>
      </c>
      <c r="J10" s="8" t="str">
        <f t="shared" si="0"/>
        <v>Pendiente</v>
      </c>
      <c r="K10" s="9" t="s">
        <v>546</v>
      </c>
      <c r="L10" s="9" t="s">
        <v>198</v>
      </c>
    </row>
    <row r="11" spans="1:14" ht="21.75" customHeight="1" x14ac:dyDescent="0.25">
      <c r="A11" s="8" t="s">
        <v>446</v>
      </c>
      <c r="B11" s="8" t="s">
        <v>547</v>
      </c>
      <c r="C11" s="9" t="s">
        <v>548</v>
      </c>
      <c r="D11" s="9" t="s">
        <v>549</v>
      </c>
      <c r="E11" s="9" t="s">
        <v>493</v>
      </c>
      <c r="F11" s="10">
        <v>46225</v>
      </c>
      <c r="G11" s="270">
        <v>46232</v>
      </c>
      <c r="H11" s="268" t="s">
        <v>425</v>
      </c>
      <c r="I11" s="11">
        <v>0</v>
      </c>
      <c r="J11" s="8" t="str">
        <f t="shared" si="0"/>
        <v>Pendiente</v>
      </c>
      <c r="K11" s="9" t="s">
        <v>550</v>
      </c>
      <c r="L11" s="9"/>
    </row>
    <row r="12" spans="1:14" ht="21.75" customHeight="1" x14ac:dyDescent="0.25">
      <c r="A12" s="8" t="s">
        <v>446</v>
      </c>
      <c r="B12" s="8" t="s">
        <v>547</v>
      </c>
      <c r="C12" s="9" t="s">
        <v>551</v>
      </c>
      <c r="D12" s="9" t="s">
        <v>552</v>
      </c>
      <c r="E12" s="9" t="s">
        <v>493</v>
      </c>
      <c r="F12" s="10">
        <v>46232</v>
      </c>
      <c r="G12" s="270">
        <v>46232</v>
      </c>
      <c r="H12" s="268" t="s">
        <v>425</v>
      </c>
      <c r="I12" s="11">
        <v>0.5</v>
      </c>
      <c r="J12" s="8" t="str">
        <f t="shared" si="0"/>
        <v>En Proceso</v>
      </c>
      <c r="K12" s="9" t="s">
        <v>553</v>
      </c>
      <c r="L12" s="9"/>
    </row>
    <row r="13" spans="1:14" ht="21.75" customHeight="1" x14ac:dyDescent="0.25">
      <c r="A13" s="12" t="s">
        <v>451</v>
      </c>
      <c r="B13" s="12" t="s">
        <v>554</v>
      </c>
      <c r="C13" s="13" t="s">
        <v>555</v>
      </c>
      <c r="D13" s="13" t="s">
        <v>556</v>
      </c>
      <c r="E13" s="13" t="s">
        <v>557</v>
      </c>
      <c r="F13" s="14">
        <v>46234</v>
      </c>
      <c r="G13" s="271">
        <v>46241</v>
      </c>
      <c r="H13" s="268" t="s">
        <v>425</v>
      </c>
      <c r="I13" s="15">
        <v>0</v>
      </c>
      <c r="J13" s="12" t="str">
        <f t="shared" si="0"/>
        <v>Pendiente</v>
      </c>
      <c r="K13" s="13" t="s">
        <v>558</v>
      </c>
      <c r="L13" s="13"/>
    </row>
    <row r="14" spans="1:14" ht="21.75" customHeight="1" x14ac:dyDescent="0.25">
      <c r="A14" s="12" t="s">
        <v>451</v>
      </c>
      <c r="B14" s="12" t="s">
        <v>554</v>
      </c>
      <c r="C14" s="13" t="s">
        <v>559</v>
      </c>
      <c r="D14" s="13" t="s">
        <v>560</v>
      </c>
      <c r="E14" s="13" t="s">
        <v>561</v>
      </c>
      <c r="F14" s="14">
        <v>46234</v>
      </c>
      <c r="G14" s="271">
        <v>46241</v>
      </c>
      <c r="H14" s="268" t="s">
        <v>425</v>
      </c>
      <c r="I14" s="15">
        <v>0</v>
      </c>
      <c r="J14" s="12" t="str">
        <f t="shared" si="0"/>
        <v>Pendiente</v>
      </c>
      <c r="K14" s="13" t="s">
        <v>562</v>
      </c>
      <c r="L14" s="13"/>
    </row>
    <row r="15" spans="1:14" ht="21.75" customHeight="1" x14ac:dyDescent="0.25">
      <c r="A15" s="12" t="s">
        <v>451</v>
      </c>
      <c r="B15" s="12" t="s">
        <v>563</v>
      </c>
      <c r="C15" s="13" t="s">
        <v>564</v>
      </c>
      <c r="D15" s="13" t="s">
        <v>565</v>
      </c>
      <c r="E15" s="13" t="s">
        <v>535</v>
      </c>
      <c r="F15" s="14">
        <v>46241</v>
      </c>
      <c r="G15" s="271">
        <v>46248</v>
      </c>
      <c r="H15" s="268" t="s">
        <v>425</v>
      </c>
      <c r="I15" s="15">
        <v>0</v>
      </c>
      <c r="J15" s="12" t="str">
        <f t="shared" si="0"/>
        <v>Pendiente</v>
      </c>
      <c r="K15" s="13" t="s">
        <v>566</v>
      </c>
      <c r="L15" s="13"/>
    </row>
    <row r="16" spans="1:14" ht="21.75" customHeight="1" x14ac:dyDescent="0.25">
      <c r="A16" s="12" t="s">
        <v>451</v>
      </c>
      <c r="B16" s="12" t="s">
        <v>563</v>
      </c>
      <c r="C16" s="13" t="s">
        <v>567</v>
      </c>
      <c r="D16" s="13" t="s">
        <v>568</v>
      </c>
      <c r="E16" s="13" t="s">
        <v>569</v>
      </c>
      <c r="F16" s="14">
        <v>46241</v>
      </c>
      <c r="G16" s="271">
        <v>46248</v>
      </c>
      <c r="H16" s="268" t="s">
        <v>425</v>
      </c>
      <c r="I16" s="15">
        <v>0</v>
      </c>
      <c r="J16" s="12" t="str">
        <f t="shared" si="0"/>
        <v>Pendiente</v>
      </c>
      <c r="K16" s="13" t="s">
        <v>570</v>
      </c>
      <c r="L16" s="13"/>
    </row>
    <row r="17" spans="1:12" ht="21.75" customHeight="1" x14ac:dyDescent="0.25">
      <c r="A17" s="12" t="s">
        <v>451</v>
      </c>
      <c r="B17" s="12" t="s">
        <v>571</v>
      </c>
      <c r="C17" s="13" t="s">
        <v>572</v>
      </c>
      <c r="D17" s="13" t="s">
        <v>573</v>
      </c>
      <c r="E17" s="13" t="s">
        <v>574</v>
      </c>
      <c r="F17" s="14">
        <v>46248</v>
      </c>
      <c r="G17" s="271">
        <v>46255</v>
      </c>
      <c r="H17" s="268" t="s">
        <v>425</v>
      </c>
      <c r="I17" s="15">
        <v>0</v>
      </c>
      <c r="J17" s="12" t="str">
        <f t="shared" si="0"/>
        <v>Pendiente</v>
      </c>
      <c r="K17" s="13" t="s">
        <v>575</v>
      </c>
      <c r="L17" s="13"/>
    </row>
    <row r="18" spans="1:12" ht="25.5" x14ac:dyDescent="0.25">
      <c r="A18" s="12" t="s">
        <v>451</v>
      </c>
      <c r="B18" s="12" t="s">
        <v>571</v>
      </c>
      <c r="C18" s="13" t="s">
        <v>576</v>
      </c>
      <c r="D18" s="13" t="s">
        <v>577</v>
      </c>
      <c r="E18" s="13" t="s">
        <v>569</v>
      </c>
      <c r="F18" s="14">
        <v>46248</v>
      </c>
      <c r="G18" s="271">
        <v>46255</v>
      </c>
      <c r="H18" s="268" t="s">
        <v>430</v>
      </c>
      <c r="I18" s="15">
        <v>0</v>
      </c>
      <c r="J18" s="12" t="str">
        <f t="shared" si="0"/>
        <v>Pendiente</v>
      </c>
      <c r="K18" s="13" t="s">
        <v>578</v>
      </c>
      <c r="L18" s="13"/>
    </row>
    <row r="19" spans="1:12" ht="21.75" customHeight="1" x14ac:dyDescent="0.25">
      <c r="A19" s="12" t="s">
        <v>451</v>
      </c>
      <c r="B19" s="12" t="s">
        <v>579</v>
      </c>
      <c r="C19" s="13" t="s">
        <v>580</v>
      </c>
      <c r="D19" s="13" t="s">
        <v>581</v>
      </c>
      <c r="E19" s="13" t="s">
        <v>493</v>
      </c>
      <c r="F19" s="14">
        <v>46255</v>
      </c>
      <c r="G19" s="271">
        <v>46262</v>
      </c>
      <c r="H19" s="273" t="s">
        <v>425</v>
      </c>
      <c r="I19" s="15">
        <v>0</v>
      </c>
      <c r="J19" s="12" t="str">
        <f t="shared" si="0"/>
        <v>Pendiente</v>
      </c>
      <c r="K19" s="13" t="s">
        <v>582</v>
      </c>
      <c r="L19" s="13"/>
    </row>
    <row r="20" spans="1:12" ht="21.75" customHeight="1" x14ac:dyDescent="0.25">
      <c r="A20" s="12" t="s">
        <v>451</v>
      </c>
      <c r="B20" s="12" t="s">
        <v>579</v>
      </c>
      <c r="C20" s="13" t="s">
        <v>583</v>
      </c>
      <c r="D20" s="13" t="s">
        <v>584</v>
      </c>
      <c r="E20" s="13" t="s">
        <v>501</v>
      </c>
      <c r="F20" s="14">
        <v>46255</v>
      </c>
      <c r="G20" s="271">
        <v>46262</v>
      </c>
      <c r="H20" s="268" t="s">
        <v>425</v>
      </c>
      <c r="I20" s="15">
        <v>0</v>
      </c>
      <c r="J20" s="12" t="str">
        <f t="shared" si="0"/>
        <v>Pendiente</v>
      </c>
      <c r="K20" s="13" t="s">
        <v>585</v>
      </c>
      <c r="L20" s="13"/>
    </row>
    <row r="21" spans="1:12" ht="21.75" customHeight="1" x14ac:dyDescent="0.25">
      <c r="A21" s="16" t="s">
        <v>456</v>
      </c>
      <c r="B21" s="16" t="s">
        <v>586</v>
      </c>
      <c r="C21" s="17" t="s">
        <v>587</v>
      </c>
      <c r="D21" s="17" t="s">
        <v>588</v>
      </c>
      <c r="E21" s="17" t="s">
        <v>589</v>
      </c>
      <c r="F21" s="18">
        <v>46264</v>
      </c>
      <c r="G21" s="272">
        <v>46271</v>
      </c>
      <c r="H21" s="268" t="s">
        <v>430</v>
      </c>
      <c r="I21" s="19">
        <v>0</v>
      </c>
      <c r="J21" s="16" t="str">
        <f t="shared" si="0"/>
        <v>Pendiente</v>
      </c>
      <c r="K21" s="17" t="s">
        <v>590</v>
      </c>
      <c r="L21" s="17"/>
    </row>
    <row r="22" spans="1:12" ht="21.75" customHeight="1" x14ac:dyDescent="0.25">
      <c r="A22" s="16" t="s">
        <v>456</v>
      </c>
      <c r="B22" s="16" t="s">
        <v>591</v>
      </c>
      <c r="C22" s="17" t="s">
        <v>592</v>
      </c>
      <c r="D22" s="17" t="s">
        <v>593</v>
      </c>
      <c r="E22" s="17" t="s">
        <v>594</v>
      </c>
      <c r="F22" s="18">
        <v>46271</v>
      </c>
      <c r="G22" s="272">
        <v>46278</v>
      </c>
      <c r="H22" s="268" t="s">
        <v>425</v>
      </c>
      <c r="I22" s="19">
        <v>0</v>
      </c>
      <c r="J22" s="16" t="str">
        <f t="shared" si="0"/>
        <v>Pendiente</v>
      </c>
      <c r="K22" s="17" t="s">
        <v>595</v>
      </c>
      <c r="L22" s="17"/>
    </row>
    <row r="23" spans="1:12" ht="21.75" customHeight="1" x14ac:dyDescent="0.25">
      <c r="A23" s="16" t="s">
        <v>456</v>
      </c>
      <c r="B23" s="16" t="s">
        <v>596</v>
      </c>
      <c r="C23" s="17" t="s">
        <v>597</v>
      </c>
      <c r="D23" s="17" t="s">
        <v>598</v>
      </c>
      <c r="E23" s="17" t="s">
        <v>599</v>
      </c>
      <c r="F23" s="18">
        <v>46278</v>
      </c>
      <c r="G23" s="272">
        <v>46285</v>
      </c>
      <c r="H23" s="268" t="s">
        <v>430</v>
      </c>
      <c r="I23" s="19">
        <v>0</v>
      </c>
      <c r="J23" s="16" t="str">
        <f t="shared" si="0"/>
        <v>Pendiente</v>
      </c>
      <c r="K23" s="17" t="s">
        <v>600</v>
      </c>
      <c r="L23" s="17"/>
    </row>
    <row r="24" spans="1:12" ht="21.75" customHeight="1" x14ac:dyDescent="0.25">
      <c r="A24" s="16" t="s">
        <v>456</v>
      </c>
      <c r="B24" s="16" t="s">
        <v>601</v>
      </c>
      <c r="C24" s="17" t="s">
        <v>602</v>
      </c>
      <c r="D24" s="17" t="s">
        <v>1175</v>
      </c>
      <c r="E24" s="17" t="s">
        <v>493</v>
      </c>
      <c r="F24" s="18">
        <v>46285</v>
      </c>
      <c r="G24" s="272">
        <v>46292</v>
      </c>
      <c r="H24" s="268" t="s">
        <v>425</v>
      </c>
      <c r="I24" s="19">
        <v>0</v>
      </c>
      <c r="J24" s="16" t="str">
        <f t="shared" si="0"/>
        <v>Pendiente</v>
      </c>
      <c r="K24" s="17" t="s">
        <v>603</v>
      </c>
      <c r="L24" s="17"/>
    </row>
    <row r="25" spans="1:12" ht="29.25" customHeight="1" x14ac:dyDescent="0.25">
      <c r="A25" s="16" t="s">
        <v>456</v>
      </c>
      <c r="B25" s="16" t="s">
        <v>601</v>
      </c>
      <c r="C25" s="17" t="s">
        <v>604</v>
      </c>
      <c r="D25" s="17" t="s">
        <v>605</v>
      </c>
      <c r="E25" s="17" t="s">
        <v>493</v>
      </c>
      <c r="F25" s="18">
        <v>46293</v>
      </c>
      <c r="G25" s="272">
        <v>46293</v>
      </c>
      <c r="H25" s="268" t="s">
        <v>425</v>
      </c>
      <c r="I25" s="19">
        <v>0</v>
      </c>
      <c r="J25" s="16" t="str">
        <f t="shared" si="0"/>
        <v>Pendiente</v>
      </c>
      <c r="K25" s="17" t="s">
        <v>606</v>
      </c>
      <c r="L25" s="17" t="s">
        <v>607</v>
      </c>
    </row>
  </sheetData>
  <autoFilter ref="A1:L25" xr:uid="{00000000-0009-0000-0000-000001000000}"/>
  <mergeCells count="1">
    <mergeCell ref="A1:L1"/>
  </mergeCells>
  <conditionalFormatting sqref="H3:H25">
    <cfRule type="expression" dxfId="5" priority="1">
      <formula>H3="Alta"</formula>
    </cfRule>
    <cfRule type="expression" dxfId="4" priority="2">
      <formula>H3="Media"</formula>
    </cfRule>
    <cfRule type="expression" dxfId="3" priority="3">
      <formula>H3="Baja"</formula>
    </cfRule>
  </conditionalFormatting>
  <dataValidations count="3">
    <dataValidation allowBlank="1" showInputMessage="1" showErrorMessage="1" sqref="J3:J25" xr:uid="{A0D1C48E-042A-4139-9E4F-C62E2AB3AFAD}"/>
    <dataValidation type="list" allowBlank="1" showInputMessage="1" showErrorMessage="1" sqref="I3:I25" xr:uid="{957FD2C2-356D-41FF-802A-EDCCD83D5F08}">
      <formula1>$N$3:$N$6</formula1>
    </dataValidation>
    <dataValidation type="list" allowBlank="1" showInputMessage="1" showErrorMessage="1" sqref="H3:H18 H20:H25" xr:uid="{8C55D66D-C2F9-4335-9C4E-B591BF5CAE2A}">
      <formula1>$G$6:$G$8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baseColWidth="10" defaultColWidth="8.7109375" defaultRowHeight="15" x14ac:dyDescent="0.25"/>
  <cols>
    <col min="1" max="1" width="22" customWidth="1"/>
    <col min="2" max="2" width="14" customWidth="1"/>
    <col min="3" max="3" width="12" customWidth="1"/>
    <col min="4" max="4" width="14" customWidth="1"/>
    <col min="5" max="6" width="12" customWidth="1"/>
    <col min="7" max="7" width="38" customWidth="1"/>
    <col min="8" max="9" width="14" customWidth="1"/>
    <col min="10" max="10" width="42" customWidth="1"/>
    <col min="12" max="12" width="0" hidden="1" customWidth="1"/>
  </cols>
  <sheetData>
    <row r="1" spans="1:12" ht="31.5" customHeight="1" x14ac:dyDescent="0.25">
      <c r="A1" s="337" t="s">
        <v>608</v>
      </c>
      <c r="B1" s="337"/>
      <c r="C1" s="337"/>
      <c r="D1" s="337"/>
      <c r="E1" s="337"/>
      <c r="F1" s="337"/>
      <c r="G1" s="337"/>
      <c r="H1" s="337"/>
      <c r="I1" s="337"/>
      <c r="J1" s="337"/>
    </row>
    <row r="2" spans="1:12" ht="30" customHeight="1" x14ac:dyDescent="0.25">
      <c r="A2" s="1" t="s">
        <v>361</v>
      </c>
      <c r="B2" s="1" t="s">
        <v>609</v>
      </c>
      <c r="C2" s="1" t="s">
        <v>610</v>
      </c>
      <c r="D2" s="1" t="s">
        <v>611</v>
      </c>
      <c r="E2" s="1" t="s">
        <v>612</v>
      </c>
      <c r="F2" s="1" t="s">
        <v>613</v>
      </c>
      <c r="G2" s="1" t="s">
        <v>614</v>
      </c>
      <c r="H2" s="1" t="s">
        <v>615</v>
      </c>
      <c r="I2" s="1" t="s">
        <v>616</v>
      </c>
      <c r="J2" s="1" t="s">
        <v>617</v>
      </c>
      <c r="L2" s="1" t="s">
        <v>615</v>
      </c>
    </row>
    <row r="3" spans="1:12" ht="25.5" customHeight="1" x14ac:dyDescent="0.25">
      <c r="A3" s="20" t="s">
        <v>618</v>
      </c>
      <c r="B3" s="21" t="s">
        <v>619</v>
      </c>
      <c r="C3" s="21">
        <v>85</v>
      </c>
      <c r="D3" s="175">
        <f>1-E3/C3</f>
        <v>0.91764705882352937</v>
      </c>
      <c r="E3" s="21">
        <v>7</v>
      </c>
      <c r="F3" s="21">
        <v>23</v>
      </c>
      <c r="G3" s="20" t="s">
        <v>620</v>
      </c>
      <c r="H3" s="22" t="s">
        <v>621</v>
      </c>
      <c r="I3" s="279" t="str">
        <f t="shared" ref="I3:I4" si="0">IF(H3="Avanzado","🟢 Bajo",IF(H3="Intermedio","🟡 Medio",IF(H3="Básico","🔴 Alto")))</f>
        <v>🟢 Bajo</v>
      </c>
      <c r="J3" s="20" t="s">
        <v>622</v>
      </c>
      <c r="L3" s="22" t="s">
        <v>621</v>
      </c>
    </row>
    <row r="4" spans="1:12" ht="25.5" customHeight="1" x14ac:dyDescent="0.25">
      <c r="A4" s="23" t="s">
        <v>623</v>
      </c>
      <c r="B4" s="24" t="s">
        <v>619</v>
      </c>
      <c r="C4" s="24">
        <v>62</v>
      </c>
      <c r="D4" s="176">
        <f t="shared" ref="D4:D10" si="1">1-E4/C4</f>
        <v>0.87096774193548387</v>
      </c>
      <c r="E4" s="24">
        <v>8</v>
      </c>
      <c r="F4" s="24">
        <v>31</v>
      </c>
      <c r="G4" s="23" t="s">
        <v>624</v>
      </c>
      <c r="H4" s="22" t="s">
        <v>625</v>
      </c>
      <c r="I4" s="279" t="str">
        <f t="shared" si="0"/>
        <v>🟡 Medio</v>
      </c>
      <c r="J4" s="23" t="s">
        <v>626</v>
      </c>
      <c r="L4" s="25" t="s">
        <v>625</v>
      </c>
    </row>
    <row r="5" spans="1:12" ht="25.5" customHeight="1" x14ac:dyDescent="0.25">
      <c r="A5" s="20" t="s">
        <v>627</v>
      </c>
      <c r="B5" s="21" t="s">
        <v>628</v>
      </c>
      <c r="C5" s="21">
        <v>110</v>
      </c>
      <c r="D5" s="175">
        <f t="shared" si="1"/>
        <v>0.83636363636363642</v>
      </c>
      <c r="E5" s="21">
        <v>18</v>
      </c>
      <c r="F5" s="21">
        <v>58</v>
      </c>
      <c r="G5" s="20" t="s">
        <v>629</v>
      </c>
      <c r="H5" s="22" t="s">
        <v>630</v>
      </c>
      <c r="I5" s="279" t="str">
        <f>IF(H5="Avanzado","🟢 Bajo",IF(H5="Intermedio","🟡 Medio",IF(H5="Básico","🔴 Alto")))</f>
        <v>🔴 Alto</v>
      </c>
      <c r="J5" s="20" t="s">
        <v>631</v>
      </c>
      <c r="L5" s="26" t="s">
        <v>630</v>
      </c>
    </row>
    <row r="6" spans="1:12" ht="25.5" customHeight="1" x14ac:dyDescent="0.25">
      <c r="A6" s="23" t="s">
        <v>632</v>
      </c>
      <c r="B6" s="24" t="s">
        <v>633</v>
      </c>
      <c r="C6" s="24">
        <v>74</v>
      </c>
      <c r="D6" s="176">
        <f t="shared" si="1"/>
        <v>0.89189189189189189</v>
      </c>
      <c r="E6" s="24">
        <v>8</v>
      </c>
      <c r="F6" s="24">
        <v>19</v>
      </c>
      <c r="G6" s="23" t="s">
        <v>634</v>
      </c>
      <c r="H6" s="22" t="s">
        <v>625</v>
      </c>
      <c r="I6" s="279" t="str">
        <f t="shared" ref="I6:I10" si="2">IF(H6="Avanzado","🟢 Bajo",IF(H6="Intermedio","🟡 Medio",IF(H6="Básico","🔴 Alto")))</f>
        <v>🟡 Medio</v>
      </c>
      <c r="J6" s="23" t="s">
        <v>635</v>
      </c>
    </row>
    <row r="7" spans="1:12" ht="25.5" customHeight="1" x14ac:dyDescent="0.25">
      <c r="A7" s="20" t="s">
        <v>636</v>
      </c>
      <c r="B7" s="21" t="s">
        <v>637</v>
      </c>
      <c r="C7" s="21">
        <v>48</v>
      </c>
      <c r="D7" s="175">
        <f t="shared" si="1"/>
        <v>0.91666666666666663</v>
      </c>
      <c r="E7" s="21">
        <v>4</v>
      </c>
      <c r="F7" s="21">
        <v>12</v>
      </c>
      <c r="G7" s="20" t="s">
        <v>638</v>
      </c>
      <c r="H7" s="22" t="s">
        <v>621</v>
      </c>
      <c r="I7" s="279" t="str">
        <f t="shared" si="2"/>
        <v>🟢 Bajo</v>
      </c>
      <c r="J7" s="20" t="s">
        <v>639</v>
      </c>
    </row>
    <row r="8" spans="1:12" ht="25.5" customHeight="1" x14ac:dyDescent="0.25">
      <c r="A8" s="23" t="s">
        <v>640</v>
      </c>
      <c r="B8" s="24" t="s">
        <v>619</v>
      </c>
      <c r="C8" s="24">
        <v>41</v>
      </c>
      <c r="D8" s="176">
        <f t="shared" si="1"/>
        <v>0.85365853658536583</v>
      </c>
      <c r="E8" s="24">
        <v>6</v>
      </c>
      <c r="F8" s="24">
        <v>27</v>
      </c>
      <c r="G8" s="23" t="s">
        <v>641</v>
      </c>
      <c r="H8" s="22" t="s">
        <v>630</v>
      </c>
      <c r="I8" s="279" t="str">
        <f t="shared" si="2"/>
        <v>🔴 Alto</v>
      </c>
      <c r="J8" s="23" t="s">
        <v>642</v>
      </c>
    </row>
    <row r="9" spans="1:12" ht="25.5" customHeight="1" x14ac:dyDescent="0.25">
      <c r="A9" s="20" t="s">
        <v>643</v>
      </c>
      <c r="B9" s="21" t="s">
        <v>637</v>
      </c>
      <c r="C9" s="21">
        <v>55</v>
      </c>
      <c r="D9" s="175">
        <f t="shared" si="1"/>
        <v>0.8727272727272728</v>
      </c>
      <c r="E9" s="21">
        <v>7</v>
      </c>
      <c r="F9" s="21">
        <v>21</v>
      </c>
      <c r="G9" s="20" t="s">
        <v>644</v>
      </c>
      <c r="H9" s="22" t="s">
        <v>625</v>
      </c>
      <c r="I9" s="279" t="str">
        <f t="shared" si="2"/>
        <v>🟡 Medio</v>
      </c>
      <c r="J9" s="20" t="s">
        <v>645</v>
      </c>
    </row>
    <row r="10" spans="1:12" ht="25.5" customHeight="1" x14ac:dyDescent="0.25">
      <c r="A10" s="23" t="s">
        <v>646</v>
      </c>
      <c r="B10" s="24" t="s">
        <v>637</v>
      </c>
      <c r="C10" s="24">
        <v>38</v>
      </c>
      <c r="D10" s="176">
        <f t="shared" si="1"/>
        <v>0.92105263157894735</v>
      </c>
      <c r="E10" s="24">
        <v>3</v>
      </c>
      <c r="F10" s="24">
        <v>8</v>
      </c>
      <c r="G10" s="23" t="s">
        <v>647</v>
      </c>
      <c r="H10" s="22" t="s">
        <v>621</v>
      </c>
      <c r="I10" s="279" t="str">
        <f t="shared" si="2"/>
        <v>🟢 Bajo</v>
      </c>
      <c r="J10" s="23" t="s">
        <v>648</v>
      </c>
    </row>
    <row r="11" spans="1:12" ht="21.75" customHeight="1" x14ac:dyDescent="0.25">
      <c r="A11" s="27" t="s">
        <v>649</v>
      </c>
      <c r="C11" s="28">
        <f>SUM(C3:C10)</f>
        <v>513</v>
      </c>
      <c r="E11" s="28">
        <f>SUM(E3:E10)</f>
        <v>61</v>
      </c>
      <c r="F11" s="28">
        <f>SUM(F3:F10)</f>
        <v>199</v>
      </c>
    </row>
  </sheetData>
  <autoFilter ref="A1:J11" xr:uid="{00000000-0009-0000-0000-000002000000}"/>
  <mergeCells count="1">
    <mergeCell ref="A1:J1"/>
  </mergeCells>
  <conditionalFormatting sqref="H3:H10">
    <cfRule type="expression" dxfId="2" priority="1">
      <formula>H3="Básico"</formula>
    </cfRule>
    <cfRule type="expression" dxfId="1" priority="2">
      <formula>H3="Intermedio"</formula>
    </cfRule>
    <cfRule type="expression" dxfId="0" priority="3">
      <formula>H3="Avanzado"</formula>
    </cfRule>
  </conditionalFormatting>
  <dataValidations count="1">
    <dataValidation type="list" allowBlank="1" showInputMessage="1" showErrorMessage="1" sqref="H3:H10" xr:uid="{3590D865-FF9E-4114-B796-4F990F628F49}">
      <formula1>$L$3:$L$5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showGridLines="0"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J2" sqref="J2"/>
    </sheetView>
  </sheetViews>
  <sheetFormatPr baseColWidth="10" defaultColWidth="8.7109375" defaultRowHeight="15" x14ac:dyDescent="0.25"/>
  <cols>
    <col min="1" max="1" width="30" customWidth="1"/>
    <col min="2" max="2" width="10.85546875" customWidth="1"/>
    <col min="3" max="3" width="42" customWidth="1"/>
    <col min="4" max="7" width="9.7109375" customWidth="1"/>
    <col min="8" max="8" width="13" customWidth="1"/>
    <col min="9" max="9" width="9.140625" bestFit="1" customWidth="1"/>
    <col min="10" max="10" width="6.5703125" bestFit="1" customWidth="1"/>
    <col min="11" max="11" width="48" customWidth="1"/>
    <col min="12" max="12" width="36.5703125" bestFit="1" customWidth="1"/>
  </cols>
  <sheetData>
    <row r="1" spans="1:12" ht="31.5" customHeight="1" x14ac:dyDescent="0.25">
      <c r="A1" s="337" t="s">
        <v>650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</row>
    <row r="2" spans="1:12" ht="30" customHeight="1" x14ac:dyDescent="0.25">
      <c r="A2" s="1" t="s">
        <v>462</v>
      </c>
      <c r="B2" s="1" t="s">
        <v>651</v>
      </c>
      <c r="C2" s="1" t="s">
        <v>652</v>
      </c>
      <c r="D2" s="1" t="s">
        <v>463</v>
      </c>
      <c r="E2" s="1" t="s">
        <v>653</v>
      </c>
      <c r="F2" s="1" t="s">
        <v>654</v>
      </c>
      <c r="G2" s="1" t="s">
        <v>464</v>
      </c>
      <c r="H2" s="1" t="s">
        <v>655</v>
      </c>
      <c r="I2" s="1" t="s">
        <v>656</v>
      </c>
      <c r="J2" s="1" t="s">
        <v>201</v>
      </c>
      <c r="K2" s="1" t="s">
        <v>657</v>
      </c>
    </row>
    <row r="3" spans="1:12" ht="30" customHeight="1" x14ac:dyDescent="0.25">
      <c r="A3" s="20" t="s">
        <v>658</v>
      </c>
      <c r="B3" s="20" t="s">
        <v>659</v>
      </c>
      <c r="C3" s="20" t="s">
        <v>660</v>
      </c>
      <c r="D3" s="21" t="s">
        <v>661</v>
      </c>
      <c r="E3" s="21" t="s">
        <v>662</v>
      </c>
      <c r="F3" s="21" t="s">
        <v>663</v>
      </c>
      <c r="G3" s="21" t="s">
        <v>664</v>
      </c>
      <c r="H3" s="21">
        <v>88.2</v>
      </c>
      <c r="I3" s="21">
        <f t="shared" ref="I3:I15" si="0">H3-G3</f>
        <v>87.27</v>
      </c>
      <c r="J3" s="21" t="str">
        <f>IF(H3&lt;=E3,"🔴",IF(H3&lt;=E3*0.95,"🟡","🟢"))</f>
        <v>🔴</v>
      </c>
      <c r="K3" s="20" t="s">
        <v>665</v>
      </c>
    </row>
    <row r="4" spans="1:12" ht="30" customHeight="1" x14ac:dyDescent="0.25">
      <c r="A4" s="23" t="s">
        <v>666</v>
      </c>
      <c r="B4" s="23" t="s">
        <v>667</v>
      </c>
      <c r="C4" s="23" t="s">
        <v>668</v>
      </c>
      <c r="D4" s="24" t="s">
        <v>669</v>
      </c>
      <c r="E4" s="24" t="s">
        <v>670</v>
      </c>
      <c r="F4" s="24" t="s">
        <v>671</v>
      </c>
      <c r="G4" s="24" t="s">
        <v>672</v>
      </c>
      <c r="H4" s="24">
        <v>4.8499999999999996</v>
      </c>
      <c r="I4" s="24">
        <f t="shared" si="0"/>
        <v>0.64999999999999947</v>
      </c>
      <c r="J4" s="24" t="str">
        <f>IF(H4&gt;=E4,"🔴",IF(H4&gt;=E4*0.95,"🟡","🟢"))</f>
        <v>🟡</v>
      </c>
      <c r="K4" s="23" t="s">
        <v>673</v>
      </c>
    </row>
    <row r="5" spans="1:12" ht="30" customHeight="1" x14ac:dyDescent="0.25">
      <c r="A5" s="20" t="s">
        <v>468</v>
      </c>
      <c r="B5" s="20" t="s">
        <v>659</v>
      </c>
      <c r="C5" s="20" t="s">
        <v>674</v>
      </c>
      <c r="D5" s="21" t="s">
        <v>675</v>
      </c>
      <c r="E5" s="21" t="s">
        <v>676</v>
      </c>
      <c r="F5" s="21" t="s">
        <v>677</v>
      </c>
      <c r="G5" s="21" t="s">
        <v>678</v>
      </c>
      <c r="H5" s="21" t="s">
        <v>675</v>
      </c>
      <c r="I5" s="21">
        <f t="shared" si="0"/>
        <v>-0.17000000000000004</v>
      </c>
      <c r="J5" s="21" t="str">
        <f>IF(H5&lt;=E5,"🔴",IF(H5&lt;=E5*0.95,"🟡","🟢"))</f>
        <v>🔴</v>
      </c>
      <c r="K5" s="20" t="s">
        <v>679</v>
      </c>
    </row>
    <row r="6" spans="1:12" ht="30" customHeight="1" x14ac:dyDescent="0.25">
      <c r="A6" s="23" t="s">
        <v>680</v>
      </c>
      <c r="B6" s="23" t="s">
        <v>659</v>
      </c>
      <c r="C6" s="23" t="s">
        <v>681</v>
      </c>
      <c r="D6" s="24" t="s">
        <v>682</v>
      </c>
      <c r="E6" s="24" t="s">
        <v>683</v>
      </c>
      <c r="F6" s="24" t="s">
        <v>684</v>
      </c>
      <c r="G6" s="24" t="s">
        <v>685</v>
      </c>
      <c r="H6" s="24" t="s">
        <v>682</v>
      </c>
      <c r="I6" s="24">
        <f t="shared" si="0"/>
        <v>7</v>
      </c>
      <c r="J6" s="24" t="str">
        <f>IF(H6&gt;=E6,"🔴",IF(H6&gt;=E6*0.95,"🟡","🟢"))</f>
        <v>🔴</v>
      </c>
      <c r="K6" s="23" t="s">
        <v>686</v>
      </c>
    </row>
    <row r="7" spans="1:12" ht="30" customHeight="1" x14ac:dyDescent="0.25">
      <c r="A7" s="20" t="s">
        <v>687</v>
      </c>
      <c r="B7" s="20" t="s">
        <v>659</v>
      </c>
      <c r="C7" s="20" t="s">
        <v>688</v>
      </c>
      <c r="D7" s="21" t="s">
        <v>689</v>
      </c>
      <c r="E7" s="21" t="s">
        <v>690</v>
      </c>
      <c r="F7" s="21" t="s">
        <v>691</v>
      </c>
      <c r="G7" s="21" t="s">
        <v>692</v>
      </c>
      <c r="H7" s="21" t="s">
        <v>689</v>
      </c>
      <c r="I7" s="21">
        <f t="shared" ref="I7" si="1">H7-G7</f>
        <v>-7</v>
      </c>
      <c r="J7" s="21" t="str">
        <f>IF(H7&lt;=E7,"🔴",IF(H7&lt;=E7*0.95,"🟡","🟢"))</f>
        <v>🔴</v>
      </c>
      <c r="K7" s="20" t="s">
        <v>693</v>
      </c>
    </row>
    <row r="8" spans="1:12" ht="30" customHeight="1" x14ac:dyDescent="0.25">
      <c r="A8" s="23" t="s">
        <v>694</v>
      </c>
      <c r="B8" s="23" t="s">
        <v>659</v>
      </c>
      <c r="C8" s="23" t="s">
        <v>695</v>
      </c>
      <c r="D8" s="24">
        <v>9.4</v>
      </c>
      <c r="E8" s="24">
        <v>8.5</v>
      </c>
      <c r="F8" s="24" t="s">
        <v>696</v>
      </c>
      <c r="G8" s="24">
        <v>6</v>
      </c>
      <c r="H8" s="24">
        <v>9.4</v>
      </c>
      <c r="I8" s="24">
        <f t="shared" si="0"/>
        <v>3.4000000000000004</v>
      </c>
      <c r="J8" s="24" t="str">
        <f>IF(H8&gt;=E8,"🔴",IF(H8&gt;=E8*0.95,"🟡","🟢"))</f>
        <v>🔴</v>
      </c>
      <c r="K8" s="23" t="s">
        <v>697</v>
      </c>
      <c r="L8" s="75" t="s">
        <v>698</v>
      </c>
    </row>
    <row r="9" spans="1:12" ht="30" customHeight="1" x14ac:dyDescent="0.25">
      <c r="A9" s="20" t="s">
        <v>474</v>
      </c>
      <c r="B9" s="20" t="s">
        <v>659</v>
      </c>
      <c r="C9" s="20" t="s">
        <v>699</v>
      </c>
      <c r="D9" s="21" t="s">
        <v>689</v>
      </c>
      <c r="E9" s="21" t="s">
        <v>690</v>
      </c>
      <c r="F9" s="21" t="s">
        <v>691</v>
      </c>
      <c r="G9" s="21" t="s">
        <v>692</v>
      </c>
      <c r="H9" s="21" t="s">
        <v>689</v>
      </c>
      <c r="I9" s="21">
        <f t="shared" si="0"/>
        <v>-7</v>
      </c>
      <c r="J9" s="21" t="str">
        <f>IF(H9&gt;=E9,"🔴",IF(H9&gt;=E9*0.95,"🟡","🟢"))</f>
        <v>🟡</v>
      </c>
      <c r="K9" s="20" t="s">
        <v>693</v>
      </c>
    </row>
    <row r="10" spans="1:12" ht="30" customHeight="1" x14ac:dyDescent="0.25">
      <c r="A10" s="23" t="s">
        <v>475</v>
      </c>
      <c r="B10" s="23" t="s">
        <v>659</v>
      </c>
      <c r="C10" s="23" t="s">
        <v>700</v>
      </c>
      <c r="D10" s="24">
        <v>9.4</v>
      </c>
      <c r="E10" s="24">
        <v>8.5</v>
      </c>
      <c r="F10" s="24">
        <v>7</v>
      </c>
      <c r="G10" s="24">
        <v>6</v>
      </c>
      <c r="H10" s="24">
        <v>9.4</v>
      </c>
      <c r="I10" s="24">
        <f t="shared" si="0"/>
        <v>3.4000000000000004</v>
      </c>
      <c r="J10" s="24" t="str">
        <f>IF(H10&gt;=E10,"🔴",IF(H10&gt;=E10*0.95,"🟡","🟢"))</f>
        <v>🔴</v>
      </c>
      <c r="K10" s="23" t="s">
        <v>697</v>
      </c>
      <c r="L10" s="75" t="s">
        <v>698</v>
      </c>
    </row>
    <row r="11" spans="1:12" ht="30" customHeight="1" x14ac:dyDescent="0.25">
      <c r="A11" s="20" t="s">
        <v>701</v>
      </c>
      <c r="B11" s="20" t="s">
        <v>659</v>
      </c>
      <c r="C11" s="20" t="s">
        <v>702</v>
      </c>
      <c r="D11" s="21" t="s">
        <v>703</v>
      </c>
      <c r="E11" s="21" t="s">
        <v>704</v>
      </c>
      <c r="F11" s="21" t="s">
        <v>705</v>
      </c>
      <c r="G11" s="21" t="s">
        <v>706</v>
      </c>
      <c r="H11" s="21" t="s">
        <v>703</v>
      </c>
      <c r="I11" s="21">
        <f t="shared" si="0"/>
        <v>109</v>
      </c>
      <c r="J11" s="21" t="str">
        <f>IF(H11&gt;=E11,"🔴",IF(H11&gt;=E11*0.95,"🟡","🟢"))</f>
        <v>🔴</v>
      </c>
      <c r="K11" s="20" t="s">
        <v>707</v>
      </c>
      <c r="L11" s="248" t="s">
        <v>708</v>
      </c>
    </row>
    <row r="12" spans="1:12" ht="30" customHeight="1" x14ac:dyDescent="0.25">
      <c r="A12" s="23" t="s">
        <v>709</v>
      </c>
      <c r="B12" s="23" t="s">
        <v>667</v>
      </c>
      <c r="C12" s="23" t="s">
        <v>710</v>
      </c>
      <c r="D12" s="24" t="s">
        <v>711</v>
      </c>
      <c r="E12" s="24" t="s">
        <v>712</v>
      </c>
      <c r="F12" s="24" t="s">
        <v>713</v>
      </c>
      <c r="G12" s="24" t="s">
        <v>714</v>
      </c>
      <c r="H12" s="24" t="s">
        <v>711</v>
      </c>
      <c r="I12" s="24">
        <f t="shared" si="0"/>
        <v>-0.46</v>
      </c>
      <c r="J12" s="24" t="str">
        <f>IF(H12&lt;=E12,"🔴",IF(H12&lt;=E12*0.95,"🟡","🟢"))</f>
        <v>🔴</v>
      </c>
      <c r="K12" s="23" t="s">
        <v>715</v>
      </c>
    </row>
    <row r="13" spans="1:12" ht="30" customHeight="1" x14ac:dyDescent="0.25">
      <c r="A13" s="20" t="s">
        <v>716</v>
      </c>
      <c r="B13" s="20" t="s">
        <v>667</v>
      </c>
      <c r="C13" s="20" t="s">
        <v>717</v>
      </c>
      <c r="D13" s="21" t="s">
        <v>718</v>
      </c>
      <c r="E13" s="21" t="s">
        <v>719</v>
      </c>
      <c r="F13" s="21" t="s">
        <v>720</v>
      </c>
      <c r="G13" s="287">
        <v>0.02</v>
      </c>
      <c r="H13" s="288">
        <v>8.2000000000000003E-2</v>
      </c>
      <c r="I13" s="21">
        <f t="shared" si="0"/>
        <v>6.2E-2</v>
      </c>
      <c r="J13" s="21" t="str">
        <f>IF(H13&gt;=E13,"🔴",IF(H13&gt;=E13*0.95,"🟡","🟢"))</f>
        <v>🟡</v>
      </c>
      <c r="K13" s="20" t="s">
        <v>721</v>
      </c>
    </row>
    <row r="14" spans="1:12" ht="30" customHeight="1" x14ac:dyDescent="0.25">
      <c r="A14" s="23" t="s">
        <v>722</v>
      </c>
      <c r="B14" s="23" t="s">
        <v>667</v>
      </c>
      <c r="C14" s="23" t="s">
        <v>723</v>
      </c>
      <c r="D14" s="24">
        <v>18</v>
      </c>
      <c r="E14" s="24">
        <v>25</v>
      </c>
      <c r="F14" s="24">
        <v>30</v>
      </c>
      <c r="G14" s="24">
        <v>35</v>
      </c>
      <c r="H14" s="24">
        <v>18</v>
      </c>
      <c r="I14" s="24">
        <f>H14-G14</f>
        <v>-17</v>
      </c>
      <c r="J14" s="24" t="str">
        <f>IF(H14&lt;=E14,"🔴",IF(H14&lt;=E14*0.95,"🟡","🟢"))</f>
        <v>🔴</v>
      </c>
      <c r="K14" s="23" t="s">
        <v>724</v>
      </c>
    </row>
    <row r="15" spans="1:12" ht="25.5" x14ac:dyDescent="0.25">
      <c r="A15" s="20" t="s">
        <v>725</v>
      </c>
      <c r="B15" s="20" t="s">
        <v>659</v>
      </c>
      <c r="C15" s="20" t="s">
        <v>726</v>
      </c>
      <c r="D15" s="21" t="s">
        <v>727</v>
      </c>
      <c r="E15" s="21">
        <v>8.5</v>
      </c>
      <c r="F15" s="21" t="s">
        <v>696</v>
      </c>
      <c r="G15" s="289">
        <v>6</v>
      </c>
      <c r="H15" s="289">
        <v>9.4</v>
      </c>
      <c r="I15" s="21">
        <f t="shared" si="0"/>
        <v>3.4000000000000004</v>
      </c>
      <c r="J15" s="21" t="str">
        <f>IF(H15&gt;=E15,"🔴",IF(H15&gt;=E15*0.95,"🟡","🟢"))</f>
        <v>🔴</v>
      </c>
      <c r="K15" s="20" t="s">
        <v>697</v>
      </c>
      <c r="L15" t="s">
        <v>698</v>
      </c>
    </row>
  </sheetData>
  <autoFilter ref="A1:K14" xr:uid="{00000000-0009-0000-0000-000003000000}">
    <filterColumn colId="1" hiddenButton="1" showButton="0"/>
  </autoFilter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27CC-7074-4B68-B547-9974DCEDC8E4}">
  <dimension ref="A1:L30"/>
  <sheetViews>
    <sheetView showGridLines="0"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G34" sqref="G34"/>
    </sheetView>
  </sheetViews>
  <sheetFormatPr baseColWidth="10" defaultColWidth="8.7109375" defaultRowHeight="15" x14ac:dyDescent="0.25"/>
  <cols>
    <col min="1" max="1" width="30" customWidth="1"/>
    <col min="2" max="2" width="12.5703125" customWidth="1"/>
    <col min="3" max="3" width="42.7109375" customWidth="1"/>
    <col min="4" max="4" width="8.28515625" customWidth="1"/>
    <col min="5" max="8" width="10" customWidth="1"/>
    <col min="9" max="9" width="9.140625" bestFit="1" customWidth="1"/>
    <col min="10" max="10" width="8.5703125" bestFit="1" customWidth="1"/>
    <col min="11" max="11" width="48" customWidth="1"/>
  </cols>
  <sheetData>
    <row r="1" spans="1:11" ht="31.5" customHeight="1" x14ac:dyDescent="0.25">
      <c r="A1" s="337" t="s">
        <v>650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</row>
    <row r="2" spans="1:11" ht="30" customHeight="1" x14ac:dyDescent="0.25">
      <c r="A2" s="1" t="s">
        <v>462</v>
      </c>
      <c r="B2" s="1" t="s">
        <v>651</v>
      </c>
      <c r="C2" s="1" t="s">
        <v>652</v>
      </c>
      <c r="D2" s="1" t="s">
        <v>463</v>
      </c>
      <c r="E2" s="1" t="s">
        <v>653</v>
      </c>
      <c r="F2" s="1" t="s">
        <v>654</v>
      </c>
      <c r="G2" s="1" t="s">
        <v>464</v>
      </c>
      <c r="H2" s="1" t="s">
        <v>655</v>
      </c>
      <c r="I2" s="1" t="s">
        <v>656</v>
      </c>
      <c r="J2" s="1" t="s">
        <v>201</v>
      </c>
      <c r="K2" s="1" t="s">
        <v>657</v>
      </c>
    </row>
    <row r="3" spans="1:11" ht="30" customHeight="1" x14ac:dyDescent="0.25">
      <c r="A3" s="20" t="s">
        <v>1176</v>
      </c>
      <c r="B3" s="20" t="s">
        <v>659</v>
      </c>
      <c r="C3" s="20" t="s">
        <v>728</v>
      </c>
      <c r="D3" s="21">
        <v>100</v>
      </c>
      <c r="E3" s="21">
        <v>90</v>
      </c>
      <c r="F3" s="21">
        <v>80</v>
      </c>
      <c r="G3" s="21">
        <v>70</v>
      </c>
      <c r="H3" s="21">
        <v>99</v>
      </c>
      <c r="I3" s="21">
        <f t="shared" ref="I3:I12" si="0">H3-G3</f>
        <v>29</v>
      </c>
      <c r="J3" s="21" t="str">
        <f>IF(H3&lt;=E3,"🔴",IF(H3&lt;=E3*0.95,"🟡","🟢"))</f>
        <v>🟢</v>
      </c>
      <c r="K3" s="20"/>
    </row>
    <row r="4" spans="1:11" ht="30" customHeight="1" x14ac:dyDescent="0.25">
      <c r="A4" s="23" t="s">
        <v>729</v>
      </c>
      <c r="B4" s="23" t="s">
        <v>659</v>
      </c>
      <c r="C4" s="23" t="s">
        <v>730</v>
      </c>
      <c r="D4" s="304">
        <v>1200</v>
      </c>
      <c r="E4" s="304">
        <v>1000</v>
      </c>
      <c r="F4" s="304">
        <v>800</v>
      </c>
      <c r="G4" s="304">
        <v>600</v>
      </c>
      <c r="H4" s="304">
        <v>1150</v>
      </c>
      <c r="I4" s="304">
        <f t="shared" si="0"/>
        <v>550</v>
      </c>
      <c r="J4" s="24" t="str">
        <f>IF(H4&gt;=E4,"🔴",IF(H4&gt;=E4*0.95,"🟡","🟢"))</f>
        <v>🔴</v>
      </c>
      <c r="K4" s="23"/>
    </row>
    <row r="5" spans="1:11" ht="30" customHeight="1" x14ac:dyDescent="0.25">
      <c r="A5" s="20" t="s">
        <v>731</v>
      </c>
      <c r="B5" s="20" t="s">
        <v>659</v>
      </c>
      <c r="C5" s="20" t="s">
        <v>732</v>
      </c>
      <c r="D5" s="305">
        <v>5000</v>
      </c>
      <c r="E5" s="305">
        <v>4000</v>
      </c>
      <c r="F5" s="305">
        <v>3800</v>
      </c>
      <c r="G5" s="305">
        <v>3000</v>
      </c>
      <c r="H5" s="305">
        <v>4900</v>
      </c>
      <c r="I5" s="305">
        <f t="shared" si="0"/>
        <v>1900</v>
      </c>
      <c r="J5" s="21" t="str">
        <f>IF(H5&lt;=E5,"🔴",IF(H5&lt;=E5*0.95,"🟡","🟢"))</f>
        <v>🟢</v>
      </c>
      <c r="K5" s="20"/>
    </row>
    <row r="6" spans="1:11" ht="30" customHeight="1" x14ac:dyDescent="0.25">
      <c r="A6" s="23" t="s">
        <v>733</v>
      </c>
      <c r="B6" s="23" t="s">
        <v>108</v>
      </c>
      <c r="C6" s="23" t="s">
        <v>734</v>
      </c>
      <c r="D6" s="306">
        <v>22000000</v>
      </c>
      <c r="E6" s="306">
        <v>21000000</v>
      </c>
      <c r="F6" s="306">
        <v>20000000</v>
      </c>
      <c r="G6" s="306">
        <v>18000000</v>
      </c>
      <c r="H6" s="306">
        <v>19000000</v>
      </c>
      <c r="I6" s="306">
        <f t="shared" si="0"/>
        <v>1000000</v>
      </c>
      <c r="J6" s="24" t="str">
        <f>IF(H6&gt;=E6,"🔴",IF(H6&gt;=E6*0.95,"🟡","🟢"))</f>
        <v>🟢</v>
      </c>
      <c r="K6" s="23"/>
    </row>
    <row r="7" spans="1:11" ht="30" customHeight="1" x14ac:dyDescent="0.25">
      <c r="A7" s="20" t="s">
        <v>735</v>
      </c>
      <c r="B7" s="20" t="s">
        <v>108</v>
      </c>
      <c r="C7" s="20" t="s">
        <v>736</v>
      </c>
      <c r="D7" s="307">
        <f>+D6/600000</f>
        <v>36.666666666666664</v>
      </c>
      <c r="E7" s="307">
        <f t="shared" ref="E7:H7" si="1">+E6/600000</f>
        <v>35</v>
      </c>
      <c r="F7" s="307">
        <f t="shared" si="1"/>
        <v>33.333333333333336</v>
      </c>
      <c r="G7" s="307">
        <f t="shared" si="1"/>
        <v>30</v>
      </c>
      <c r="H7" s="307">
        <f t="shared" si="1"/>
        <v>31.666666666666668</v>
      </c>
      <c r="I7" s="307">
        <f t="shared" si="0"/>
        <v>1.6666666666666679</v>
      </c>
      <c r="J7" s="21" t="str">
        <f>IF(H7&lt;=E7,"🔴",IF(H7&lt;=E7*0.95,"🟡","🟢"))</f>
        <v>🔴</v>
      </c>
      <c r="K7" s="20"/>
    </row>
    <row r="8" spans="1:11" ht="51" x14ac:dyDescent="0.25">
      <c r="A8" s="23" t="s">
        <v>737</v>
      </c>
      <c r="B8" s="23" t="s">
        <v>108</v>
      </c>
      <c r="C8" s="23" t="s">
        <v>738</v>
      </c>
      <c r="D8" s="309">
        <f>600000*30/D6</f>
        <v>0.81818181818181823</v>
      </c>
      <c r="E8" s="309">
        <f t="shared" ref="E8:H8" si="2">600000*30/E6</f>
        <v>0.8571428571428571</v>
      </c>
      <c r="F8" s="309">
        <f t="shared" si="2"/>
        <v>0.9</v>
      </c>
      <c r="G8" s="309">
        <f t="shared" si="2"/>
        <v>1</v>
      </c>
      <c r="H8" s="309">
        <f t="shared" si="2"/>
        <v>0.94736842105263153</v>
      </c>
      <c r="I8" s="24">
        <f t="shared" si="0"/>
        <v>-5.2631578947368474E-2</v>
      </c>
      <c r="J8" s="24" t="str">
        <f>IF(H8&gt;=E8,"🔴",IF(H8&gt;=E8*0.95,"🟡","🟢"))</f>
        <v>🔴</v>
      </c>
      <c r="K8" s="23"/>
    </row>
    <row r="9" spans="1:11" ht="30" customHeight="1" x14ac:dyDescent="0.25">
      <c r="A9" s="20" t="s">
        <v>739</v>
      </c>
      <c r="B9" s="20" t="s">
        <v>108</v>
      </c>
      <c r="C9" s="20" t="s">
        <v>740</v>
      </c>
      <c r="D9" s="310">
        <v>15000</v>
      </c>
      <c r="E9" s="310">
        <v>10000</v>
      </c>
      <c r="F9" s="310">
        <v>8000</v>
      </c>
      <c r="G9" s="310">
        <v>5000</v>
      </c>
      <c r="H9" s="310">
        <v>14500</v>
      </c>
      <c r="I9" s="21">
        <f t="shared" si="0"/>
        <v>9500</v>
      </c>
      <c r="J9" s="21" t="str">
        <f>IF(H9&gt;=E9,"🔴",IF(H9&gt;=E9*0.95,"🟡","🟢"))</f>
        <v>🔴</v>
      </c>
      <c r="K9" s="20"/>
    </row>
    <row r="10" spans="1:11" ht="30" customHeight="1" x14ac:dyDescent="0.25">
      <c r="A10" s="23" t="s">
        <v>741</v>
      </c>
      <c r="B10" s="23" t="s">
        <v>108</v>
      </c>
      <c r="C10" s="23" t="s">
        <v>742</v>
      </c>
      <c r="D10" s="308">
        <v>0.8</v>
      </c>
      <c r="E10" s="308">
        <v>0.85</v>
      </c>
      <c r="F10" s="308">
        <v>0.88</v>
      </c>
      <c r="G10" s="308">
        <v>0.9</v>
      </c>
      <c r="H10" s="308">
        <v>0.83</v>
      </c>
      <c r="I10" s="308">
        <f t="shared" si="0"/>
        <v>-7.0000000000000062E-2</v>
      </c>
      <c r="J10" s="24" t="str">
        <f>IF(H10&lt;=E10,"🔴",IF(H10&lt;=E10*0.95,"🟡","🟢"))</f>
        <v>🔴</v>
      </c>
      <c r="K10" s="23"/>
    </row>
    <row r="11" spans="1:11" ht="30" customHeight="1" x14ac:dyDescent="0.25">
      <c r="A11" s="20" t="s">
        <v>743</v>
      </c>
      <c r="B11" s="20" t="s">
        <v>108</v>
      </c>
      <c r="C11" s="20" t="s">
        <v>744</v>
      </c>
      <c r="D11" s="311">
        <v>7.0000000000000007E-2</v>
      </c>
      <c r="E11" s="311">
        <v>0.09</v>
      </c>
      <c r="F11" s="311">
        <v>0.11</v>
      </c>
      <c r="G11" s="311">
        <v>0.15</v>
      </c>
      <c r="H11" s="311">
        <v>0.105</v>
      </c>
      <c r="I11" s="311">
        <f>H11-G11</f>
        <v>-4.4999999999999998E-2</v>
      </c>
      <c r="J11" s="21" t="str">
        <f>IF(H11&gt;=E11,"🔴",IF(H11&gt;=E11*0.95,"🟡","🟢"))</f>
        <v>🔴</v>
      </c>
      <c r="K11" s="20"/>
    </row>
    <row r="12" spans="1:11" ht="30" customHeight="1" x14ac:dyDescent="0.25">
      <c r="A12" s="23" t="s">
        <v>745</v>
      </c>
      <c r="B12" s="23" t="s">
        <v>108</v>
      </c>
      <c r="C12" s="23" t="s">
        <v>746</v>
      </c>
      <c r="D12" s="308">
        <v>0.05</v>
      </c>
      <c r="E12" s="308">
        <v>4.4999999999999998E-2</v>
      </c>
      <c r="F12" s="308">
        <v>0.04</v>
      </c>
      <c r="G12" s="308">
        <v>0.03</v>
      </c>
      <c r="H12" s="308">
        <v>0.04</v>
      </c>
      <c r="I12" s="308">
        <f t="shared" si="0"/>
        <v>1.0000000000000002E-2</v>
      </c>
      <c r="J12" s="24" t="str">
        <f>IF(H12&lt;=E12,"🔴",IF(H12&lt;=E12*0.95,"🟡","🟢"))</f>
        <v>🔴</v>
      </c>
      <c r="K12" s="23"/>
    </row>
    <row r="13" spans="1:11" ht="25.5" x14ac:dyDescent="0.25">
      <c r="A13" s="20" t="s">
        <v>747</v>
      </c>
      <c r="B13" s="20" t="s">
        <v>108</v>
      </c>
      <c r="C13" s="20" t="s">
        <v>748</v>
      </c>
      <c r="D13" s="311">
        <v>0.02</v>
      </c>
      <c r="E13" s="311">
        <v>1.7999999999999999E-2</v>
      </c>
      <c r="F13" s="311">
        <v>1.4999999999999999E-2</v>
      </c>
      <c r="G13" s="311">
        <v>0.01</v>
      </c>
      <c r="H13" s="311">
        <v>2.5000000000000001E-2</v>
      </c>
      <c r="I13" s="311">
        <f>H13-G13</f>
        <v>1.5000000000000001E-2</v>
      </c>
      <c r="J13" s="21" t="str">
        <f>IF(H13&gt;=E13,"🔴",IF(H13&gt;=E13*0.95,"🟡","🟢"))</f>
        <v>🔴</v>
      </c>
      <c r="K13" s="20"/>
    </row>
    <row r="14" spans="1:11" ht="38.25" x14ac:dyDescent="0.25">
      <c r="A14" s="23" t="s">
        <v>749</v>
      </c>
      <c r="B14" s="23" t="s">
        <v>108</v>
      </c>
      <c r="C14" s="23" t="s">
        <v>750</v>
      </c>
      <c r="D14" s="312">
        <v>0.75</v>
      </c>
      <c r="E14" s="312">
        <v>0.8</v>
      </c>
      <c r="F14" s="312">
        <v>0.85</v>
      </c>
      <c r="G14" s="312">
        <v>0.9</v>
      </c>
      <c r="H14" s="312">
        <v>0.8</v>
      </c>
      <c r="I14" s="312">
        <f t="shared" ref="I14" si="3">H14-G14</f>
        <v>-9.9999999999999978E-2</v>
      </c>
      <c r="J14" s="24" t="str">
        <f>IF(H14&lt;=E14,"🔴",IF(H14&lt;=E14*0.95,"🟡","🟢"))</f>
        <v>🔴</v>
      </c>
      <c r="K14" s="23"/>
    </row>
    <row r="15" spans="1:11" ht="25.5" x14ac:dyDescent="0.25">
      <c r="A15" s="20" t="s">
        <v>751</v>
      </c>
      <c r="B15" s="20" t="s">
        <v>659</v>
      </c>
      <c r="C15" s="20" t="s">
        <v>752</v>
      </c>
      <c r="D15" s="287">
        <v>0.9</v>
      </c>
      <c r="E15" s="287">
        <v>0.93</v>
      </c>
      <c r="F15" s="287">
        <v>0.95</v>
      </c>
      <c r="G15" s="287">
        <v>0.97</v>
      </c>
      <c r="H15" s="287">
        <v>0.9</v>
      </c>
      <c r="I15" s="287">
        <f>H15-G15</f>
        <v>-6.9999999999999951E-2</v>
      </c>
      <c r="J15" s="21" t="str">
        <f>IF(H15&gt;=E15,"🔴",IF(H15&gt;=E15*0.95,"🟡","🟢"))</f>
        <v>🟡</v>
      </c>
      <c r="K15" s="20"/>
    </row>
    <row r="16" spans="1:11" ht="25.5" x14ac:dyDescent="0.25">
      <c r="A16" s="23" t="s">
        <v>753</v>
      </c>
      <c r="B16" s="23" t="s">
        <v>133</v>
      </c>
      <c r="C16" s="23" t="s">
        <v>754</v>
      </c>
      <c r="D16" s="312">
        <v>0.85</v>
      </c>
      <c r="E16" s="312">
        <v>0.88</v>
      </c>
      <c r="F16" s="312">
        <v>0.95</v>
      </c>
      <c r="G16" s="312">
        <v>0.98</v>
      </c>
      <c r="H16" s="312">
        <v>0.88</v>
      </c>
      <c r="I16" s="312">
        <f t="shared" ref="I16" si="4">H16-G16</f>
        <v>-9.9999999999999978E-2</v>
      </c>
      <c r="J16" s="24" t="str">
        <f>IF(H16&lt;=E16,"🔴",IF(H16&lt;=E16*0.95,"🟡","🟢"))</f>
        <v>🔴</v>
      </c>
      <c r="K16" s="23"/>
    </row>
    <row r="17" spans="1:12" ht="25.5" x14ac:dyDescent="0.25">
      <c r="A17" s="20" t="s">
        <v>755</v>
      </c>
      <c r="B17" s="20" t="s">
        <v>133</v>
      </c>
      <c r="C17" s="20" t="s">
        <v>1177</v>
      </c>
      <c r="D17" s="313">
        <v>0.02</v>
      </c>
      <c r="E17" s="313">
        <v>1.4999999999999999E-2</v>
      </c>
      <c r="F17" s="313">
        <v>0.01</v>
      </c>
      <c r="G17" s="313">
        <v>5.0000000000000001E-3</v>
      </c>
      <c r="H17" s="313">
        <v>1.4999999999999999E-2</v>
      </c>
      <c r="I17" s="313">
        <f>H17-G17</f>
        <v>9.9999999999999985E-3</v>
      </c>
      <c r="J17" s="21" t="str">
        <f>IF(H17&gt;=E17,"🔴",IF(H17&gt;=E17*0.95,"🟡","🟢"))</f>
        <v>🔴</v>
      </c>
      <c r="K17" s="20" t="s">
        <v>1180</v>
      </c>
    </row>
    <row r="18" spans="1:12" x14ac:dyDescent="0.25">
      <c r="A18" s="317" t="s">
        <v>756</v>
      </c>
      <c r="B18" s="317" t="s">
        <v>254</v>
      </c>
      <c r="C18" s="317" t="s">
        <v>1178</v>
      </c>
      <c r="D18" s="318">
        <v>0.05</v>
      </c>
      <c r="E18" s="318">
        <v>4.4999999999999998E-2</v>
      </c>
      <c r="F18" s="318">
        <v>0.04</v>
      </c>
      <c r="G18" s="318">
        <v>0.97</v>
      </c>
      <c r="H18" s="318">
        <v>0.9</v>
      </c>
      <c r="I18" s="319">
        <f>H18-G18</f>
        <v>-6.9999999999999951E-2</v>
      </c>
      <c r="J18" s="279" t="str">
        <f>IF(H18&gt;=E18,"🔴",IF(H18&gt;=E18*0.95,"🟡","🟢"))</f>
        <v>🔴</v>
      </c>
      <c r="K18" s="317"/>
    </row>
    <row r="19" spans="1:12" x14ac:dyDescent="0.25">
      <c r="A19" s="314" t="s">
        <v>757</v>
      </c>
      <c r="B19" s="314" t="s">
        <v>254</v>
      </c>
      <c r="C19" s="314" t="s">
        <v>1179</v>
      </c>
      <c r="D19" s="315">
        <v>0.05</v>
      </c>
      <c r="E19" s="315">
        <v>0.04</v>
      </c>
      <c r="F19" s="315">
        <v>0.03</v>
      </c>
      <c r="G19" s="315">
        <v>0.02</v>
      </c>
      <c r="H19" s="315">
        <v>4.4999999999999998E-2</v>
      </c>
      <c r="I19" s="315">
        <f t="shared" ref="I19" si="5">H19-G19</f>
        <v>2.4999999999999998E-2</v>
      </c>
      <c r="J19" s="316" t="str">
        <f>IF(H19&lt;=E19,"🔴",IF(H19&lt;=E19*0.95,"🟡","🟢"))</f>
        <v>🟢</v>
      </c>
      <c r="K19" s="314"/>
    </row>
    <row r="20" spans="1:12" ht="25.5" x14ac:dyDescent="0.25">
      <c r="A20" s="317" t="s">
        <v>273</v>
      </c>
      <c r="B20" s="317" t="s">
        <v>254</v>
      </c>
      <c r="C20" s="317" t="s">
        <v>758</v>
      </c>
      <c r="D20" s="318">
        <v>0.17</v>
      </c>
      <c r="E20" s="318">
        <v>0.15</v>
      </c>
      <c r="F20" s="318">
        <v>0.1</v>
      </c>
      <c r="G20" s="318">
        <v>7.4999999999999997E-2</v>
      </c>
      <c r="H20" s="318">
        <v>0.12</v>
      </c>
      <c r="I20" s="318">
        <f>H20-G20</f>
        <v>4.4999999999999998E-2</v>
      </c>
      <c r="J20" s="279" t="str">
        <f>IF(H20&gt;=E20,"🔴",IF(H20&gt;=E20*0.95,"🟡","🟢"))</f>
        <v>🟢</v>
      </c>
      <c r="K20" s="317"/>
    </row>
    <row r="21" spans="1:12" x14ac:dyDescent="0.25">
      <c r="A21" s="314" t="s">
        <v>276</v>
      </c>
      <c r="B21" s="314" t="s">
        <v>254</v>
      </c>
      <c r="C21" s="314" t="s">
        <v>1181</v>
      </c>
      <c r="D21" s="316">
        <v>100</v>
      </c>
      <c r="E21" s="316">
        <v>80</v>
      </c>
      <c r="F21" s="316">
        <v>70</v>
      </c>
      <c r="G21" s="316">
        <v>60</v>
      </c>
      <c r="H21" s="316">
        <v>80</v>
      </c>
      <c r="I21" s="316">
        <f t="shared" ref="I21" si="6">H21-G21</f>
        <v>20</v>
      </c>
      <c r="J21" s="316" t="str">
        <f>IF(H21&lt;=E21,"🔴",IF(H21&lt;=E21*0.95,"🟡","🟢"))</f>
        <v>🔴</v>
      </c>
      <c r="K21" s="314"/>
    </row>
    <row r="22" spans="1:12" x14ac:dyDescent="0.25">
      <c r="A22" s="317" t="s">
        <v>204</v>
      </c>
      <c r="B22" s="317" t="s">
        <v>254</v>
      </c>
      <c r="C22" s="317" t="s">
        <v>1182</v>
      </c>
      <c r="D22" s="279">
        <v>5</v>
      </c>
      <c r="E22" s="279">
        <v>3</v>
      </c>
      <c r="F22" s="279">
        <v>2</v>
      </c>
      <c r="G22" s="279">
        <v>1</v>
      </c>
      <c r="H22" s="279">
        <v>5</v>
      </c>
      <c r="I22" s="279">
        <f>H22-G22</f>
        <v>4</v>
      </c>
      <c r="J22" s="279" t="str">
        <f>IF(H22&gt;=E22,"🔴",IF(H22&gt;=E22*0.95,"🟡","🟢"))</f>
        <v>🔴</v>
      </c>
      <c r="K22" s="317" t="s">
        <v>1183</v>
      </c>
    </row>
    <row r="23" spans="1:12" x14ac:dyDescent="0.25">
      <c r="A23" s="314" t="s">
        <v>759</v>
      </c>
      <c r="B23" s="314" t="s">
        <v>254</v>
      </c>
      <c r="C23" s="314" t="s">
        <v>1184</v>
      </c>
      <c r="D23" s="316">
        <v>100</v>
      </c>
      <c r="E23" s="316">
        <v>80</v>
      </c>
      <c r="F23" s="316">
        <v>60</v>
      </c>
      <c r="G23" s="316">
        <v>50</v>
      </c>
      <c r="H23" s="316">
        <v>80</v>
      </c>
      <c r="I23" s="316">
        <f t="shared" ref="I23" si="7">H23-G23</f>
        <v>30</v>
      </c>
      <c r="J23" s="316" t="str">
        <f>IF(H23&lt;=E23,"🔴",IF(H23&lt;=E23*0.95,"🟡","🟢"))</f>
        <v>🔴</v>
      </c>
      <c r="K23" s="314"/>
    </row>
    <row r="24" spans="1:12" ht="25.5" x14ac:dyDescent="0.25">
      <c r="A24" s="317" t="s">
        <v>760</v>
      </c>
      <c r="B24" s="317" t="s">
        <v>254</v>
      </c>
      <c r="C24" s="317" t="s">
        <v>761</v>
      </c>
      <c r="D24" s="318">
        <v>0.55000000000000004</v>
      </c>
      <c r="E24" s="318">
        <v>0.6</v>
      </c>
      <c r="F24" s="318">
        <v>0.65</v>
      </c>
      <c r="G24" s="318">
        <v>0.75</v>
      </c>
      <c r="H24" s="318">
        <v>0.55000000000000004</v>
      </c>
      <c r="I24" s="318">
        <f>H24-G24</f>
        <v>-0.19999999999999996</v>
      </c>
      <c r="J24" s="279" t="str">
        <f>IF(H24&gt;=E24,"🔴",IF(H24&gt;=E24*0.95,"🟡","🟢"))</f>
        <v>🟢</v>
      </c>
      <c r="K24" s="317"/>
    </row>
    <row r="25" spans="1:12" x14ac:dyDescent="0.25">
      <c r="A25" s="314" t="s">
        <v>762</v>
      </c>
      <c r="B25" s="314" t="s">
        <v>254</v>
      </c>
      <c r="C25" s="314" t="s">
        <v>763</v>
      </c>
      <c r="D25" s="320">
        <v>0.9</v>
      </c>
      <c r="E25" s="320">
        <v>0.93</v>
      </c>
      <c r="F25" s="320">
        <v>0.95</v>
      </c>
      <c r="G25" s="320">
        <v>0.98</v>
      </c>
      <c r="H25" s="320">
        <v>0.9</v>
      </c>
      <c r="I25" s="320">
        <f t="shared" ref="I25" si="8">H25-G25</f>
        <v>-7.999999999999996E-2</v>
      </c>
      <c r="J25" s="316" t="str">
        <f>IF(H25&lt;=E25,"🔴",IF(H25&lt;=E25*0.95,"🟡","🟢"))</f>
        <v>🔴</v>
      </c>
      <c r="K25" s="314"/>
    </row>
    <row r="26" spans="1:12" x14ac:dyDescent="0.25">
      <c r="A26" s="317" t="s">
        <v>764</v>
      </c>
      <c r="B26" s="317" t="s">
        <v>254</v>
      </c>
      <c r="C26" s="317" t="s">
        <v>763</v>
      </c>
      <c r="D26" s="319">
        <v>0.9</v>
      </c>
      <c r="E26" s="319">
        <v>0.93</v>
      </c>
      <c r="F26" s="319">
        <v>0.95</v>
      </c>
      <c r="G26" s="319">
        <v>0.98</v>
      </c>
      <c r="H26" s="319">
        <v>0.9</v>
      </c>
      <c r="I26" s="319">
        <f>H26-G26</f>
        <v>-7.999999999999996E-2</v>
      </c>
      <c r="J26" s="279" t="str">
        <f>IF(H26&gt;=E26,"🔴",IF(H26&gt;=E26*0.95,"🟡","🟢"))</f>
        <v>🟡</v>
      </c>
      <c r="K26" s="317"/>
    </row>
    <row r="27" spans="1:12" x14ac:dyDescent="0.25">
      <c r="A27" s="314" t="s">
        <v>765</v>
      </c>
      <c r="B27" s="314" t="s">
        <v>659</v>
      </c>
      <c r="C27" s="314" t="s">
        <v>763</v>
      </c>
      <c r="D27" s="320">
        <v>0.8</v>
      </c>
      <c r="E27" s="320">
        <v>0.85</v>
      </c>
      <c r="F27" s="320">
        <v>0.87</v>
      </c>
      <c r="G27" s="320">
        <v>0.9</v>
      </c>
      <c r="H27" s="320">
        <v>0.8</v>
      </c>
      <c r="I27" s="320">
        <f t="shared" ref="I27" si="9">H27-G27</f>
        <v>-9.9999999999999978E-2</v>
      </c>
      <c r="J27" s="316" t="str">
        <f>IF(H27&lt;=E27,"🔴",IF(H27&lt;=E27*0.95,"🟡","🟢"))</f>
        <v>🔴</v>
      </c>
      <c r="K27" s="314"/>
    </row>
    <row r="28" spans="1:12" ht="25.5" x14ac:dyDescent="0.25">
      <c r="A28" s="317" t="s">
        <v>766</v>
      </c>
      <c r="B28" s="317" t="s">
        <v>667</v>
      </c>
      <c r="C28" s="317" t="s">
        <v>767</v>
      </c>
      <c r="D28" s="319">
        <v>0.22</v>
      </c>
      <c r="E28" s="319">
        <v>0.2</v>
      </c>
      <c r="F28" s="319">
        <v>0.15</v>
      </c>
      <c r="G28" s="319">
        <v>0.1</v>
      </c>
      <c r="H28" s="319">
        <v>0.2</v>
      </c>
      <c r="I28" s="319">
        <f>H28-G28</f>
        <v>0.1</v>
      </c>
      <c r="J28" s="279" t="str">
        <f>IF(H28&gt;=E28,"🔴",IF(H28&gt;=E28*0.95,"🟡","🟢"))</f>
        <v>🔴</v>
      </c>
      <c r="K28" s="317"/>
    </row>
    <row r="29" spans="1:12" ht="25.5" x14ac:dyDescent="0.25">
      <c r="A29" s="314" t="s">
        <v>768</v>
      </c>
      <c r="B29" s="314" t="s">
        <v>659</v>
      </c>
      <c r="C29" s="314" t="s">
        <v>769</v>
      </c>
      <c r="D29" s="316">
        <v>10</v>
      </c>
      <c r="E29" s="316">
        <v>8</v>
      </c>
      <c r="F29" s="316">
        <v>7</v>
      </c>
      <c r="G29" s="316">
        <v>5</v>
      </c>
      <c r="H29" s="316">
        <v>8</v>
      </c>
      <c r="I29" s="316">
        <f t="shared" ref="I29:I30" si="10">H29-G29</f>
        <v>3</v>
      </c>
      <c r="J29" s="316" t="str">
        <f>IF(H29&lt;=E29,"🔴",IF(H29&lt;=E29*0.95,"🟡","🟢"))</f>
        <v>🔴</v>
      </c>
      <c r="K29" s="314"/>
    </row>
    <row r="30" spans="1:12" ht="25.5" x14ac:dyDescent="0.25">
      <c r="A30" s="317" t="s">
        <v>770</v>
      </c>
      <c r="B30" s="317" t="s">
        <v>659</v>
      </c>
      <c r="C30" s="317" t="s">
        <v>771</v>
      </c>
      <c r="D30" s="279">
        <v>9.4</v>
      </c>
      <c r="E30" s="279">
        <v>8.5</v>
      </c>
      <c r="F30" s="279">
        <v>7</v>
      </c>
      <c r="G30" s="279">
        <v>6</v>
      </c>
      <c r="H30" s="279">
        <v>9.4</v>
      </c>
      <c r="I30" s="279">
        <f t="shared" si="10"/>
        <v>3.4000000000000004</v>
      </c>
      <c r="J30" s="279" t="str">
        <f>IF(H30&gt;=E30,"🔴",IF(H30&gt;=E30*0.95,"🟡","🟢"))</f>
        <v>🔴</v>
      </c>
      <c r="K30" s="317" t="s">
        <v>697</v>
      </c>
      <c r="L30" t="s">
        <v>698</v>
      </c>
    </row>
  </sheetData>
  <autoFilter ref="A1:K12" xr:uid="{00000000-0009-0000-0000-000003000000}">
    <filterColumn colId="1" hiddenButton="1" showButton="0"/>
  </autoFilter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6335-779F-44E1-83A2-CD431D1D634A}">
  <dimension ref="A1:U42"/>
  <sheetViews>
    <sheetView showGridLines="0" zoomScaleNormal="100" workbookViewId="0">
      <pane ySplit="2" topLeftCell="A3" activePane="bottomLeft" state="frozen"/>
      <selection pane="bottomLeft" activeCell="A11" sqref="A11"/>
    </sheetView>
  </sheetViews>
  <sheetFormatPr baseColWidth="10" defaultColWidth="8.7109375" defaultRowHeight="15" outlineLevelCol="1" x14ac:dyDescent="0.25"/>
  <cols>
    <col min="1" max="1" width="43.85546875" style="95" customWidth="1"/>
    <col min="2" max="2" width="2" style="95" customWidth="1"/>
    <col min="3" max="3" width="70.42578125" style="95" hidden="1" customWidth="1" outlineLevel="1"/>
    <col min="4" max="4" width="7" style="95" customWidth="1" collapsed="1"/>
    <col min="5" max="7" width="7" style="95" customWidth="1"/>
    <col min="8" max="11" width="7.28515625" style="95" customWidth="1"/>
    <col min="12" max="16384" width="8.7109375" style="95"/>
  </cols>
  <sheetData>
    <row r="1" spans="1:21" ht="18.75" x14ac:dyDescent="0.25">
      <c r="A1" s="94" t="s">
        <v>650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</row>
    <row r="2" spans="1:21" s="96" customFormat="1" ht="25.5" x14ac:dyDescent="0.2">
      <c r="A2" s="97" t="s">
        <v>772</v>
      </c>
      <c r="B2" s="97"/>
      <c r="C2" s="97" t="s">
        <v>773</v>
      </c>
      <c r="D2" s="98" t="s">
        <v>774</v>
      </c>
      <c r="E2" s="98" t="s">
        <v>775</v>
      </c>
      <c r="F2" s="98" t="s">
        <v>776</v>
      </c>
      <c r="G2" s="98" t="s">
        <v>777</v>
      </c>
      <c r="H2" s="98" t="s">
        <v>778</v>
      </c>
      <c r="I2" s="98" t="s">
        <v>779</v>
      </c>
      <c r="J2" s="98" t="s">
        <v>780</v>
      </c>
      <c r="K2" s="98" t="s">
        <v>781</v>
      </c>
      <c r="L2" s="98" t="s">
        <v>782</v>
      </c>
      <c r="M2" s="98" t="s">
        <v>783</v>
      </c>
      <c r="N2" s="98" t="s">
        <v>784</v>
      </c>
      <c r="O2" s="98" t="s">
        <v>785</v>
      </c>
      <c r="P2" s="98" t="s">
        <v>774</v>
      </c>
      <c r="Q2" s="98" t="s">
        <v>775</v>
      </c>
      <c r="R2" s="98" t="s">
        <v>786</v>
      </c>
      <c r="S2" s="98" t="s">
        <v>787</v>
      </c>
      <c r="T2" s="98" t="s">
        <v>788</v>
      </c>
      <c r="U2" s="98" t="s">
        <v>789</v>
      </c>
    </row>
    <row r="3" spans="1:21" s="96" customFormat="1" ht="12.75" x14ac:dyDescent="0.2">
      <c r="A3" s="99" t="s">
        <v>790</v>
      </c>
      <c r="B3" s="99"/>
      <c r="C3" s="99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1"/>
      <c r="S3" s="102"/>
      <c r="T3" s="103"/>
      <c r="U3" s="100"/>
    </row>
    <row r="4" spans="1:21" s="96" customFormat="1" ht="12.75" x14ac:dyDescent="0.2">
      <c r="A4" s="128" t="s">
        <v>791</v>
      </c>
      <c r="B4" s="144"/>
      <c r="C4" s="128" t="s">
        <v>792</v>
      </c>
      <c r="D4" s="129"/>
      <c r="E4" s="129"/>
      <c r="F4" s="129"/>
      <c r="G4" s="129"/>
      <c r="H4" s="129"/>
      <c r="I4" s="129"/>
      <c r="J4" s="129"/>
      <c r="K4" s="129"/>
      <c r="L4" s="130"/>
      <c r="M4" s="130"/>
      <c r="N4" s="130"/>
      <c r="O4" s="130"/>
      <c r="P4" s="129"/>
      <c r="Q4" s="129"/>
      <c r="R4" s="131"/>
      <c r="S4" s="132"/>
      <c r="T4" s="133" t="e">
        <f t="shared" ref="T4:T37" si="0">+Q4/P4-1</f>
        <v>#DIV/0!</v>
      </c>
      <c r="U4" s="132"/>
    </row>
    <row r="5" spans="1:21" s="96" customFormat="1" ht="12.75" x14ac:dyDescent="0.2">
      <c r="A5" s="106" t="s">
        <v>793</v>
      </c>
      <c r="B5" s="107"/>
      <c r="C5" s="106" t="s">
        <v>794</v>
      </c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9"/>
      <c r="S5" s="110"/>
      <c r="T5" s="111" t="e">
        <f t="shared" si="0"/>
        <v>#DIV/0!</v>
      </c>
      <c r="U5" s="108"/>
    </row>
    <row r="6" spans="1:21" s="96" customFormat="1" ht="12.75" x14ac:dyDescent="0.2">
      <c r="A6" s="128" t="s">
        <v>795</v>
      </c>
      <c r="B6" s="144"/>
      <c r="C6" s="128" t="s">
        <v>796</v>
      </c>
      <c r="D6" s="129"/>
      <c r="E6" s="129"/>
      <c r="F6" s="129"/>
      <c r="G6" s="129"/>
      <c r="H6" s="129"/>
      <c r="I6" s="129"/>
      <c r="J6" s="129"/>
      <c r="K6" s="129"/>
      <c r="L6" s="134"/>
      <c r="M6" s="134"/>
      <c r="N6" s="134"/>
      <c r="O6" s="134"/>
      <c r="P6" s="129"/>
      <c r="Q6" s="129"/>
      <c r="R6" s="131"/>
      <c r="S6" s="132"/>
      <c r="T6" s="133" t="e">
        <f t="shared" si="0"/>
        <v>#DIV/0!</v>
      </c>
      <c r="U6" s="129"/>
    </row>
    <row r="7" spans="1:21" s="96" customFormat="1" ht="12.75" x14ac:dyDescent="0.2">
      <c r="A7" s="106" t="s">
        <v>797</v>
      </c>
      <c r="B7" s="105"/>
      <c r="C7" s="106" t="s">
        <v>798</v>
      </c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3"/>
      <c r="S7" s="102"/>
      <c r="T7" s="111" t="e">
        <f t="shared" si="0"/>
        <v>#DIV/0!</v>
      </c>
      <c r="U7" s="112"/>
    </row>
    <row r="8" spans="1:21" s="96" customFormat="1" ht="12.75" x14ac:dyDescent="0.2">
      <c r="A8" s="128" t="s">
        <v>799</v>
      </c>
      <c r="B8" s="145"/>
      <c r="C8" s="128" t="s">
        <v>800</v>
      </c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6"/>
      <c r="S8" s="137"/>
      <c r="T8" s="133" t="e">
        <f t="shared" si="0"/>
        <v>#DIV/0!</v>
      </c>
      <c r="U8" s="135"/>
    </row>
    <row r="9" spans="1:21" s="96" customFormat="1" ht="12.75" x14ac:dyDescent="0.2">
      <c r="A9" s="106" t="s">
        <v>801</v>
      </c>
      <c r="B9" s="107"/>
      <c r="C9" s="106" t="s">
        <v>802</v>
      </c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9"/>
      <c r="S9" s="110"/>
      <c r="T9" s="111" t="e">
        <f t="shared" si="0"/>
        <v>#DIV/0!</v>
      </c>
      <c r="U9" s="108"/>
    </row>
    <row r="10" spans="1:21" s="96" customFormat="1" ht="12.75" x14ac:dyDescent="0.2">
      <c r="A10" s="128" t="s">
        <v>803</v>
      </c>
      <c r="B10" s="144"/>
      <c r="C10" s="128" t="s">
        <v>804</v>
      </c>
      <c r="D10" s="138">
        <v>0.98399999999999999</v>
      </c>
      <c r="E10" s="138">
        <v>0.96630000000000005</v>
      </c>
      <c r="F10" s="138">
        <v>0.96220000000000006</v>
      </c>
      <c r="G10" s="138">
        <v>0.97150000000000003</v>
      </c>
      <c r="H10" s="138">
        <v>0.96509999999999996</v>
      </c>
      <c r="I10" s="138">
        <v>0.94740000000000002</v>
      </c>
      <c r="J10" s="138">
        <v>0.97729999999999995</v>
      </c>
      <c r="K10" s="138">
        <v>0.96579999999999999</v>
      </c>
      <c r="L10" s="138">
        <v>0.88800000000000001</v>
      </c>
      <c r="M10" s="138">
        <v>0.9748</v>
      </c>
      <c r="N10" s="138">
        <v>0.89959999999999996</v>
      </c>
      <c r="O10" s="138">
        <v>0.93959999999999999</v>
      </c>
      <c r="P10" s="135">
        <v>0.88939999999999997</v>
      </c>
      <c r="Q10" s="135">
        <v>0.88200000000000001</v>
      </c>
      <c r="R10" s="136"/>
      <c r="S10" s="139">
        <v>0.97</v>
      </c>
      <c r="T10" s="140">
        <f t="shared" si="0"/>
        <v>-8.3202158758712841E-3</v>
      </c>
      <c r="U10" s="135"/>
    </row>
    <row r="11" spans="1:21" s="96" customFormat="1" ht="12.75" x14ac:dyDescent="0.2">
      <c r="A11" s="106" t="s">
        <v>805</v>
      </c>
      <c r="B11" s="105"/>
      <c r="C11" s="106" t="s">
        <v>806</v>
      </c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9"/>
      <c r="S11" s="119"/>
      <c r="T11" s="111" t="e">
        <f t="shared" si="0"/>
        <v>#DIV/0!</v>
      </c>
      <c r="U11" s="108"/>
    </row>
    <row r="12" spans="1:21" s="96" customFormat="1" ht="12.75" x14ac:dyDescent="0.2">
      <c r="A12" s="141" t="s">
        <v>807</v>
      </c>
      <c r="B12" s="141"/>
      <c r="C12" s="128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3"/>
      <c r="S12" s="142"/>
      <c r="T12" s="133"/>
      <c r="U12" s="142"/>
    </row>
    <row r="13" spans="1:21" s="96" customFormat="1" ht="12.75" x14ac:dyDescent="0.2">
      <c r="A13" s="106" t="s">
        <v>808</v>
      </c>
      <c r="B13" s="105"/>
      <c r="C13" s="106" t="s">
        <v>809</v>
      </c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3"/>
      <c r="S13" s="120"/>
      <c r="T13" s="111" t="e">
        <f t="shared" si="0"/>
        <v>#DIV/0!</v>
      </c>
      <c r="U13" s="112"/>
    </row>
    <row r="14" spans="1:21" s="96" customFormat="1" ht="12.75" x14ac:dyDescent="0.2">
      <c r="A14" s="128" t="s">
        <v>810</v>
      </c>
      <c r="B14" s="105"/>
      <c r="C14" s="104" t="s">
        <v>811</v>
      </c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6"/>
      <c r="S14" s="146"/>
      <c r="T14" s="133" t="e">
        <f t="shared" si="0"/>
        <v>#DIV/0!</v>
      </c>
      <c r="U14" s="135"/>
    </row>
    <row r="15" spans="1:21" s="96" customFormat="1" ht="12.75" x14ac:dyDescent="0.2">
      <c r="A15" s="106" t="s">
        <v>812</v>
      </c>
      <c r="B15" s="105"/>
      <c r="C15" s="106" t="s">
        <v>813</v>
      </c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9"/>
      <c r="S15" s="119"/>
      <c r="T15" s="111" t="e">
        <f t="shared" si="0"/>
        <v>#DIV/0!</v>
      </c>
      <c r="U15" s="108"/>
    </row>
    <row r="16" spans="1:21" s="96" customFormat="1" ht="12.75" x14ac:dyDescent="0.2">
      <c r="A16" s="128" t="s">
        <v>814</v>
      </c>
      <c r="B16" s="105"/>
      <c r="C16" s="104" t="s">
        <v>815</v>
      </c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3"/>
      <c r="S16" s="142"/>
      <c r="T16" s="133" t="e">
        <f t="shared" si="0"/>
        <v>#DIV/0!</v>
      </c>
      <c r="U16" s="142"/>
    </row>
    <row r="17" spans="1:21" s="96" customFormat="1" ht="12.75" x14ac:dyDescent="0.2">
      <c r="A17" s="106" t="s">
        <v>816</v>
      </c>
      <c r="B17" s="107"/>
      <c r="C17" s="106" t="s">
        <v>817</v>
      </c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3"/>
      <c r="S17" s="120"/>
      <c r="T17" s="111" t="e">
        <f t="shared" si="0"/>
        <v>#DIV/0!</v>
      </c>
      <c r="U17" s="112"/>
    </row>
    <row r="18" spans="1:21" s="96" customFormat="1" ht="12.75" x14ac:dyDescent="0.2">
      <c r="A18" s="128" t="s">
        <v>818</v>
      </c>
      <c r="B18" s="105"/>
      <c r="C18" s="104" t="s">
        <v>819</v>
      </c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6"/>
      <c r="S18" s="146"/>
      <c r="T18" s="133" t="e">
        <f t="shared" si="0"/>
        <v>#DIV/0!</v>
      </c>
      <c r="U18" s="135"/>
    </row>
    <row r="19" spans="1:21" s="96" customFormat="1" ht="12.75" x14ac:dyDescent="0.2">
      <c r="A19" s="106" t="s">
        <v>820</v>
      </c>
      <c r="B19" s="105"/>
      <c r="C19" s="106" t="s">
        <v>821</v>
      </c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9"/>
      <c r="S19" s="119"/>
      <c r="T19" s="111" t="e">
        <f t="shared" si="0"/>
        <v>#DIV/0!</v>
      </c>
      <c r="U19" s="108"/>
    </row>
    <row r="20" spans="1:21" s="96" customFormat="1" ht="12.75" x14ac:dyDescent="0.2">
      <c r="A20" s="141" t="s">
        <v>822</v>
      </c>
      <c r="B20" s="141"/>
      <c r="C20" s="128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3"/>
      <c r="S20" s="142"/>
      <c r="T20" s="133"/>
      <c r="U20" s="142"/>
    </row>
    <row r="21" spans="1:21" s="96" customFormat="1" ht="12.75" x14ac:dyDescent="0.2">
      <c r="A21" s="106" t="s">
        <v>823</v>
      </c>
      <c r="B21" s="116"/>
      <c r="C21" s="106" t="s">
        <v>824</v>
      </c>
      <c r="D21" s="117">
        <v>0.98399999999999999</v>
      </c>
      <c r="E21" s="117">
        <v>0.96630000000000005</v>
      </c>
      <c r="F21" s="117">
        <v>0.96220000000000006</v>
      </c>
      <c r="G21" s="117">
        <v>0.97150000000000003</v>
      </c>
      <c r="H21" s="117">
        <v>0.96509999999999996</v>
      </c>
      <c r="I21" s="117">
        <v>0.94740000000000002</v>
      </c>
      <c r="J21" s="117">
        <v>0.97729999999999995</v>
      </c>
      <c r="K21" s="117">
        <v>0.96579999999999999</v>
      </c>
      <c r="L21" s="117">
        <v>0.88800000000000001</v>
      </c>
      <c r="M21" s="117">
        <v>0.9748</v>
      </c>
      <c r="N21" s="117">
        <v>0.89959999999999996</v>
      </c>
      <c r="O21" s="117">
        <v>0.93959999999999999</v>
      </c>
      <c r="P21" s="114">
        <v>0.88939999999999997</v>
      </c>
      <c r="Q21" s="114">
        <v>0.88200000000000001</v>
      </c>
      <c r="R21" s="115"/>
      <c r="S21" s="118">
        <v>0.97</v>
      </c>
      <c r="T21" s="121">
        <f t="shared" si="0"/>
        <v>-8.3202158758712841E-3</v>
      </c>
      <c r="U21" s="112"/>
    </row>
    <row r="22" spans="1:21" s="96" customFormat="1" ht="12.75" x14ac:dyDescent="0.2">
      <c r="A22" s="128" t="s">
        <v>825</v>
      </c>
      <c r="B22" s="105"/>
      <c r="C22" s="104" t="s">
        <v>826</v>
      </c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6"/>
      <c r="S22" s="146"/>
      <c r="T22" s="133" t="e">
        <f t="shared" si="0"/>
        <v>#DIV/0!</v>
      </c>
      <c r="U22" s="135"/>
    </row>
    <row r="23" spans="1:21" s="96" customFormat="1" ht="12.75" x14ac:dyDescent="0.2">
      <c r="A23" s="106" t="s">
        <v>827</v>
      </c>
      <c r="B23" s="105"/>
      <c r="C23" s="122" t="s">
        <v>828</v>
      </c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9"/>
      <c r="S23" s="119"/>
      <c r="T23" s="111" t="e">
        <f t="shared" si="0"/>
        <v>#DIV/0!</v>
      </c>
      <c r="U23" s="108"/>
    </row>
    <row r="24" spans="1:21" s="96" customFormat="1" ht="12.75" x14ac:dyDescent="0.2">
      <c r="A24" s="128" t="s">
        <v>829</v>
      </c>
      <c r="B24" s="105"/>
      <c r="C24" s="104" t="s">
        <v>830</v>
      </c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3"/>
      <c r="S24" s="142"/>
      <c r="T24" s="133" t="e">
        <f t="shared" si="0"/>
        <v>#DIV/0!</v>
      </c>
      <c r="U24" s="142"/>
    </row>
    <row r="25" spans="1:21" s="96" customFormat="1" ht="12.75" x14ac:dyDescent="0.2">
      <c r="A25" s="106" t="s">
        <v>831</v>
      </c>
      <c r="B25" s="107"/>
      <c r="C25" s="106" t="s">
        <v>832</v>
      </c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3"/>
      <c r="S25" s="120"/>
      <c r="T25" s="111" t="e">
        <f t="shared" si="0"/>
        <v>#DIV/0!</v>
      </c>
      <c r="U25" s="112"/>
    </row>
    <row r="26" spans="1:21" s="96" customFormat="1" ht="12.75" x14ac:dyDescent="0.2">
      <c r="A26" s="128" t="s">
        <v>833</v>
      </c>
      <c r="B26" s="105"/>
      <c r="C26" s="104" t="s">
        <v>834</v>
      </c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6"/>
      <c r="S26" s="146"/>
      <c r="T26" s="133" t="e">
        <f t="shared" si="0"/>
        <v>#DIV/0!</v>
      </c>
      <c r="U26" s="135"/>
    </row>
    <row r="27" spans="1:21" s="96" customFormat="1" ht="12.75" x14ac:dyDescent="0.2">
      <c r="A27" s="106" t="s">
        <v>835</v>
      </c>
      <c r="B27" s="105"/>
      <c r="C27" s="106" t="s">
        <v>836</v>
      </c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9"/>
      <c r="S27" s="119"/>
      <c r="T27" s="111" t="e">
        <f t="shared" si="0"/>
        <v>#DIV/0!</v>
      </c>
      <c r="U27" s="108"/>
    </row>
    <row r="28" spans="1:21" s="96" customFormat="1" ht="12.75" x14ac:dyDescent="0.2">
      <c r="A28" s="141" t="s">
        <v>837</v>
      </c>
      <c r="B28" s="141"/>
      <c r="C28" s="104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3"/>
      <c r="S28" s="142"/>
      <c r="T28" s="133"/>
      <c r="U28" s="142"/>
    </row>
    <row r="29" spans="1:21" s="96" customFormat="1" ht="12.75" x14ac:dyDescent="0.2">
      <c r="A29" s="106" t="s">
        <v>838</v>
      </c>
      <c r="B29" s="116"/>
      <c r="C29" s="106" t="s">
        <v>839</v>
      </c>
      <c r="D29" s="117">
        <v>0.97089999999999999</v>
      </c>
      <c r="E29" s="117">
        <v>0.95960000000000001</v>
      </c>
      <c r="F29" s="117">
        <v>0.94299999999999995</v>
      </c>
      <c r="G29" s="117">
        <v>0.83230000000000004</v>
      </c>
      <c r="H29" s="117">
        <v>0.79430000000000001</v>
      </c>
      <c r="I29" s="117">
        <v>0.87770000000000004</v>
      </c>
      <c r="J29" s="117">
        <v>0.86980000000000002</v>
      </c>
      <c r="K29" s="117">
        <v>0.86599999999999999</v>
      </c>
      <c r="L29" s="117">
        <v>0.85389999999999999</v>
      </c>
      <c r="M29" s="117">
        <v>0.87628865979381443</v>
      </c>
      <c r="N29" s="117">
        <v>0.76744186046511631</v>
      </c>
      <c r="O29" s="117">
        <v>0.75362318840579712</v>
      </c>
      <c r="P29" s="114">
        <v>0.93157894736842106</v>
      </c>
      <c r="Q29" s="114">
        <v>0.88200000000000001</v>
      </c>
      <c r="R29" s="115"/>
      <c r="S29" s="118">
        <v>0.97</v>
      </c>
      <c r="T29" s="121">
        <f t="shared" si="0"/>
        <v>-5.3220338983050897E-2</v>
      </c>
      <c r="U29" s="112"/>
    </row>
    <row r="30" spans="1:21" s="96" customFormat="1" ht="12.75" x14ac:dyDescent="0.2">
      <c r="A30" s="128" t="s">
        <v>840</v>
      </c>
      <c r="B30" s="107"/>
      <c r="C30" s="104" t="s">
        <v>841</v>
      </c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3"/>
      <c r="S30" s="142"/>
      <c r="T30" s="133" t="e">
        <f t="shared" si="0"/>
        <v>#DIV/0!</v>
      </c>
      <c r="U30" s="142"/>
    </row>
    <row r="31" spans="1:21" s="96" customFormat="1" ht="12.75" x14ac:dyDescent="0.2">
      <c r="A31" s="106" t="s">
        <v>842</v>
      </c>
      <c r="B31" s="105"/>
      <c r="C31" s="106" t="s">
        <v>843</v>
      </c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3"/>
      <c r="S31" s="120"/>
      <c r="T31" s="111" t="e">
        <f t="shared" si="0"/>
        <v>#DIV/0!</v>
      </c>
      <c r="U31" s="112"/>
    </row>
    <row r="32" spans="1:21" s="96" customFormat="1" ht="12.75" x14ac:dyDescent="0.2">
      <c r="A32" s="128" t="s">
        <v>844</v>
      </c>
      <c r="B32" s="105"/>
      <c r="C32" s="104" t="s">
        <v>845</v>
      </c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3"/>
      <c r="S32" s="142"/>
      <c r="T32" s="133" t="e">
        <f t="shared" si="0"/>
        <v>#DIV/0!</v>
      </c>
      <c r="U32" s="142"/>
    </row>
    <row r="33" spans="1:21" s="96" customFormat="1" ht="12.75" x14ac:dyDescent="0.2">
      <c r="A33" s="106" t="s">
        <v>846</v>
      </c>
      <c r="B33" s="105"/>
      <c r="C33" s="106" t="s">
        <v>847</v>
      </c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3"/>
      <c r="S33" s="120"/>
      <c r="T33" s="111" t="e">
        <f t="shared" si="0"/>
        <v>#DIV/0!</v>
      </c>
      <c r="U33" s="112"/>
    </row>
    <row r="34" spans="1:21" s="96" customFormat="1" ht="12.75" x14ac:dyDescent="0.2">
      <c r="A34" s="128" t="s">
        <v>833</v>
      </c>
      <c r="B34" s="105"/>
      <c r="C34" s="104" t="s">
        <v>848</v>
      </c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3"/>
      <c r="S34" s="142"/>
      <c r="T34" s="133" t="e">
        <f t="shared" si="0"/>
        <v>#DIV/0!</v>
      </c>
      <c r="U34" s="142"/>
    </row>
    <row r="35" spans="1:21" s="96" customFormat="1" ht="12.75" x14ac:dyDescent="0.2">
      <c r="A35" s="123" t="s">
        <v>849</v>
      </c>
      <c r="B35" s="123"/>
      <c r="C35" s="124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6"/>
      <c r="S35" s="125"/>
      <c r="T35" s="127"/>
      <c r="U35" s="125"/>
    </row>
    <row r="36" spans="1:21" s="96" customFormat="1" ht="25.5" x14ac:dyDescent="0.2">
      <c r="A36" s="128" t="s">
        <v>850</v>
      </c>
      <c r="B36" s="105"/>
      <c r="C36" s="104" t="s">
        <v>851</v>
      </c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3"/>
      <c r="S36" s="142"/>
      <c r="T36" s="133" t="e">
        <f t="shared" si="0"/>
        <v>#DIV/0!</v>
      </c>
      <c r="U36" s="142"/>
    </row>
    <row r="37" spans="1:21" s="96" customFormat="1" ht="12.75" x14ac:dyDescent="0.2">
      <c r="A37" s="124" t="s">
        <v>852</v>
      </c>
      <c r="B37" s="105"/>
      <c r="C37" s="124" t="s">
        <v>853</v>
      </c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6"/>
      <c r="S37" s="125"/>
      <c r="T37" s="127" t="e">
        <f t="shared" si="0"/>
        <v>#DIV/0!</v>
      </c>
      <c r="U37" s="125"/>
    </row>
    <row r="38" spans="1:21" s="96" customFormat="1" ht="12.75" x14ac:dyDescent="0.2"/>
    <row r="39" spans="1:21" s="96" customFormat="1" ht="12.75" x14ac:dyDescent="0.2">
      <c r="A39" s="96" t="s">
        <v>854</v>
      </c>
    </row>
    <row r="40" spans="1:21" s="96" customFormat="1" ht="12.75" x14ac:dyDescent="0.2">
      <c r="A40" s="96" t="s">
        <v>855</v>
      </c>
    </row>
    <row r="41" spans="1:21" s="96" customFormat="1" ht="12.75" x14ac:dyDescent="0.2">
      <c r="A41" s="96" t="s">
        <v>204</v>
      </c>
      <c r="C41" s="96" t="s">
        <v>856</v>
      </c>
    </row>
    <row r="42" spans="1:21" s="96" customFormat="1" ht="12.75" x14ac:dyDescent="0.2">
      <c r="A42" s="96" t="s">
        <v>857</v>
      </c>
    </row>
  </sheetData>
  <autoFilter ref="A1:J37" xr:uid="{00000000-0009-0000-0000-000003000000}"/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454FB64-9499-4555-9AEC-1B9C4D54CE1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'Benchmark KPIs Corp'!D37:Q37</xm:f>
              <xm:sqref>U37</xm:sqref>
            </x14:sparkline>
          </x14:sparklines>
        </x14:sparklineGroup>
        <x14:sparklineGroup displayEmptyCellsAs="gap" xr2:uid="{85940606-A699-4EF8-AF2E-F72645112AC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'Benchmark KPIs Corp'!D35:Q35</xm:f>
              <xm:sqref>U35</xm:sqref>
            </x14:sparkline>
            <x14:sparkline>
              <xm:f>'Benchmark KPIs Corp'!D36:Q36</xm:f>
              <xm:sqref>U36</xm:sqref>
            </x14:sparkline>
          </x14:sparklines>
        </x14:sparklineGroup>
        <x14:sparklineGroup displayEmptyCellsAs="gap" xr2:uid="{FD58BD14-DD54-405D-AFB8-16435181DA8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'Benchmark KPIs Corp'!D32:Q32</xm:f>
              <xm:sqref>U32</xm:sqref>
            </x14:sparkline>
            <x14:sparkline>
              <xm:f>'Benchmark KPIs Corp'!D33:Q33</xm:f>
              <xm:sqref>U33</xm:sqref>
            </x14:sparkline>
          </x14:sparklines>
        </x14:sparklineGroup>
        <x14:sparklineGroup displayEmptyCellsAs="gap" xr2:uid="{1BFFB6D1-4C10-49A5-AAEA-216934FFEC4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'Benchmark KPIs Corp'!D30:Q30</xm:f>
              <xm:sqref>U30</xm:sqref>
            </x14:sparkline>
            <x14:sparkline>
              <xm:f>'Benchmark KPIs Corp'!D31:Q31</xm:f>
              <xm:sqref>U31</xm:sqref>
            </x14:sparkline>
          </x14:sparklines>
        </x14:sparklineGroup>
        <x14:sparklineGroup displayEmptyCellsAs="gap" xr2:uid="{52F2249D-2044-4656-B4CE-D79095D54F7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'Benchmark KPIs Corp'!D26:Q26</xm:f>
              <xm:sqref>U26</xm:sqref>
            </x14:sparkline>
            <x14:sparkline>
              <xm:f>'Benchmark KPIs Corp'!D27:Q27</xm:f>
              <xm:sqref>U27</xm:sqref>
            </x14:sparkline>
            <x14:sparkline>
              <xm:f>'Benchmark KPIs Corp'!D28:Q28</xm:f>
              <xm:sqref>U28</xm:sqref>
            </x14:sparkline>
            <x14:sparkline>
              <xm:f>'Benchmark KPIs Corp'!D29:Q29</xm:f>
              <xm:sqref>U29</xm:sqref>
            </x14:sparkline>
          </x14:sparklines>
        </x14:sparklineGroup>
        <x14:sparklineGroup displayEmptyCellsAs="gap" xr2:uid="{3F7C8C12-916C-4E41-AD9F-65CAEFEFF9A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'Benchmark KPIs Corp'!D22:Q22</xm:f>
              <xm:sqref>U22</xm:sqref>
            </x14:sparkline>
            <x14:sparkline>
              <xm:f>'Benchmark KPIs Corp'!D23:Q23</xm:f>
              <xm:sqref>U23</xm:sqref>
            </x14:sparkline>
            <x14:sparkline>
              <xm:f>'Benchmark KPIs Corp'!D24:Q24</xm:f>
              <xm:sqref>U24</xm:sqref>
            </x14:sparkline>
            <x14:sparkline>
              <xm:f>'Benchmark KPIs Corp'!D25:Q25</xm:f>
              <xm:sqref>U25</xm:sqref>
            </x14:sparkline>
          </x14:sparklines>
        </x14:sparklineGroup>
        <x14:sparklineGroup displayEmptyCellsAs="gap" xr2:uid="{AE6C977C-0CAE-48F5-A0C5-811C849832D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'Benchmark KPIs Corp'!D18:Q18</xm:f>
              <xm:sqref>U18</xm:sqref>
            </x14:sparkline>
            <x14:sparkline>
              <xm:f>'Benchmark KPIs Corp'!D19:Q19</xm:f>
              <xm:sqref>U19</xm:sqref>
            </x14:sparkline>
            <x14:sparkline>
              <xm:f>'Benchmark KPIs Corp'!D20:Q20</xm:f>
              <xm:sqref>U20</xm:sqref>
            </x14:sparkline>
            <x14:sparkline>
              <xm:f>'Benchmark KPIs Corp'!D21:Q21</xm:f>
              <xm:sqref>U21</xm:sqref>
            </x14:sparkline>
          </x14:sparklines>
        </x14:sparklineGroup>
        <x14:sparklineGroup displayEmptyCellsAs="gap" xr2:uid="{C74C6909-30B4-49EB-A7EA-541734F2FA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'Benchmark KPIs Corp'!D14:Q14</xm:f>
              <xm:sqref>U14</xm:sqref>
            </x14:sparkline>
            <x14:sparkline>
              <xm:f>'Benchmark KPIs Corp'!D15:Q15</xm:f>
              <xm:sqref>U15</xm:sqref>
            </x14:sparkline>
            <x14:sparkline>
              <xm:f>'Benchmark KPIs Corp'!D16:Q16</xm:f>
              <xm:sqref>U16</xm:sqref>
            </x14:sparkline>
            <x14:sparkline>
              <xm:f>'Benchmark KPIs Corp'!D17:Q17</xm:f>
              <xm:sqref>U17</xm:sqref>
            </x14:sparkline>
          </x14:sparklines>
        </x14:sparklineGroup>
        <x14:sparklineGroup displayEmptyCellsAs="gap" xr2:uid="{725BCB76-3027-4731-B16E-392F861F81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'Benchmark KPIs Corp'!D3:Q3</xm:f>
              <xm:sqref>U3</xm:sqref>
            </x14:sparkline>
          </x14:sparklines>
        </x14:sparklineGroup>
        <x14:sparklineGroup displayEmptyCellsAs="gap" xr2:uid="{740A8613-DB15-4809-BE13-C594EBB522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'Benchmark KPIs Corp'!D4:Q4</xm:f>
              <xm:sqref>U4</xm:sqref>
            </x14:sparkline>
            <x14:sparkline>
              <xm:f>'Benchmark KPIs Corp'!D5:Q5</xm:f>
              <xm:sqref>U5</xm:sqref>
            </x14:sparkline>
            <x14:sparkline>
              <xm:f>'Benchmark KPIs Corp'!D6:Q6</xm:f>
              <xm:sqref>U6</xm:sqref>
            </x14:sparkline>
            <x14:sparkline>
              <xm:f>'Benchmark KPIs Corp'!D7:Q7</xm:f>
              <xm:sqref>U7</xm:sqref>
            </x14:sparkline>
            <x14:sparkline>
              <xm:f>'Benchmark KPIs Corp'!D8:Q8</xm:f>
              <xm:sqref>U8</xm:sqref>
            </x14:sparkline>
            <x14:sparkline>
              <xm:f>'Benchmark KPIs Corp'!D9:Q9</xm:f>
              <xm:sqref>U9</xm:sqref>
            </x14:sparkline>
            <x14:sparkline>
              <xm:f>'Benchmark KPIs Corp'!D10:Q10</xm:f>
              <xm:sqref>U10</xm:sqref>
            </x14:sparkline>
            <x14:sparkline>
              <xm:f>'Benchmark KPIs Corp'!D11:Q11</xm:f>
              <xm:sqref>U11</xm:sqref>
            </x14:sparkline>
            <x14:sparkline>
              <xm:f>'Benchmark KPIs Corp'!D12:Q12</xm:f>
              <xm:sqref>U12</xm:sqref>
            </x14:sparkline>
            <x14:sparkline>
              <xm:f>'Benchmark KPIs Corp'!D13:Q13</xm:f>
              <xm:sqref>U13</xm:sqref>
            </x14:sparkline>
          </x14:sparklines>
        </x14:sparklineGroup>
        <x14:sparklineGroup displayEmptyCellsAs="gap" xr2:uid="{5692DF4B-3895-4A9E-A029-DB7E8A532D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'Benchmark KPIs Corp'!D34:Q34</xm:f>
              <xm:sqref>U34</xm:sqref>
            </x14:sparkline>
          </x14:sparklines>
        </x14:sparklineGroup>
      </x14:sparklineGroup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BAEC-4A39-4EC9-8844-83FE240F1632}">
  <dimension ref="A1:Q15"/>
  <sheetViews>
    <sheetView showGridLines="0" zoomScaleNormal="100" workbookViewId="0">
      <pane ySplit="2" topLeftCell="A3" activePane="bottomLeft" state="frozen"/>
      <selection pane="bottomLeft" activeCell="A8" sqref="A8"/>
    </sheetView>
  </sheetViews>
  <sheetFormatPr baseColWidth="10" defaultColWidth="8.7109375" defaultRowHeight="15" x14ac:dyDescent="0.25"/>
  <cols>
    <col min="1" max="1" width="30" style="95" customWidth="1"/>
    <col min="2" max="10" width="7.28515625" style="95" bestFit="1" customWidth="1"/>
    <col min="11" max="16384" width="8.7109375" style="95"/>
  </cols>
  <sheetData>
    <row r="1" spans="1:17" ht="31.5" customHeight="1" x14ac:dyDescent="0.25">
      <c r="A1" s="94" t="s">
        <v>650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</row>
    <row r="2" spans="1:17" s="96" customFormat="1" ht="30" customHeight="1" x14ac:dyDescent="0.2">
      <c r="A2" s="147" t="s">
        <v>772</v>
      </c>
      <c r="B2" s="148" t="s">
        <v>778</v>
      </c>
      <c r="C2" s="148" t="s">
        <v>779</v>
      </c>
      <c r="D2" s="148" t="s">
        <v>780</v>
      </c>
      <c r="E2" s="148" t="s">
        <v>781</v>
      </c>
      <c r="F2" s="148" t="s">
        <v>782</v>
      </c>
      <c r="G2" s="148" t="s">
        <v>783</v>
      </c>
      <c r="H2" s="148" t="s">
        <v>784</v>
      </c>
      <c r="I2" s="148" t="s">
        <v>785</v>
      </c>
      <c r="J2" s="148" t="s">
        <v>774</v>
      </c>
      <c r="K2" s="148" t="s">
        <v>775</v>
      </c>
      <c r="L2" s="148" t="s">
        <v>858</v>
      </c>
      <c r="M2" s="148" t="s">
        <v>777</v>
      </c>
      <c r="N2" s="148" t="s">
        <v>786</v>
      </c>
      <c r="O2" s="148" t="s">
        <v>787</v>
      </c>
      <c r="P2" s="148" t="s">
        <v>788</v>
      </c>
      <c r="Q2" s="148" t="s">
        <v>789</v>
      </c>
    </row>
    <row r="3" spans="1:17" s="96" customFormat="1" ht="19.5" customHeight="1" x14ac:dyDescent="0.2">
      <c r="A3" s="149" t="s">
        <v>859</v>
      </c>
      <c r="B3" s="150">
        <v>131</v>
      </c>
      <c r="C3" s="150">
        <v>134</v>
      </c>
      <c r="D3" s="150">
        <v>134</v>
      </c>
      <c r="E3" s="150">
        <v>149</v>
      </c>
      <c r="F3" s="150">
        <v>158</v>
      </c>
      <c r="G3" s="150">
        <v>156</v>
      </c>
      <c r="H3" s="150">
        <v>157</v>
      </c>
      <c r="I3" s="150">
        <v>142</v>
      </c>
      <c r="J3" s="150">
        <v>141</v>
      </c>
      <c r="K3" s="150">
        <v>169</v>
      </c>
      <c r="L3" s="150">
        <v>166</v>
      </c>
      <c r="M3" s="150">
        <v>162</v>
      </c>
      <c r="N3" s="151">
        <v>142</v>
      </c>
      <c r="O3" s="152">
        <v>133</v>
      </c>
      <c r="P3" s="153">
        <f>+M3/L3-1</f>
        <v>-2.4096385542168641E-2</v>
      </c>
      <c r="Q3" s="150"/>
    </row>
    <row r="4" spans="1:17" s="96" customFormat="1" ht="19.5" customHeight="1" x14ac:dyDescent="0.2">
      <c r="A4" s="154" t="s">
        <v>860</v>
      </c>
      <c r="B4" s="155">
        <v>1.6816509274900555</v>
      </c>
      <c r="C4" s="155">
        <v>1.8781045598940511</v>
      </c>
      <c r="D4" s="155">
        <v>1.9152610354307953</v>
      </c>
      <c r="E4" s="155">
        <v>1.8791329915420605</v>
      </c>
      <c r="F4" s="155">
        <v>2.0735101204437774</v>
      </c>
      <c r="G4" s="155">
        <v>1.9904991817976141</v>
      </c>
      <c r="H4" s="155">
        <v>1.922490058839905</v>
      </c>
      <c r="I4" s="156">
        <v>2.11</v>
      </c>
      <c r="J4" s="155">
        <v>1.8</v>
      </c>
      <c r="K4" s="155">
        <v>1.83</v>
      </c>
      <c r="L4" s="155">
        <v>1.94</v>
      </c>
      <c r="M4" s="155">
        <v>2.1800000000000002</v>
      </c>
      <c r="N4" s="157">
        <v>1.79</v>
      </c>
      <c r="O4" s="158">
        <v>1.92</v>
      </c>
      <c r="P4" s="159">
        <f t="shared" ref="P4:P13" si="0">+M4/L4-1</f>
        <v>0.12371134020618557</v>
      </c>
      <c r="Q4" s="158"/>
    </row>
    <row r="5" spans="1:17" s="96" customFormat="1" ht="19.5" customHeight="1" x14ac:dyDescent="0.2">
      <c r="A5" s="149" t="s">
        <v>861</v>
      </c>
      <c r="B5" s="160">
        <v>0.93100000000000005</v>
      </c>
      <c r="C5" s="160">
        <v>0.92500000000000004</v>
      </c>
      <c r="D5" s="160">
        <v>0.92700000000000005</v>
      </c>
      <c r="E5" s="160">
        <v>0.70599999999999996</v>
      </c>
      <c r="F5" s="160">
        <v>0.753</v>
      </c>
      <c r="G5" s="160">
        <v>0.46</v>
      </c>
      <c r="H5" s="160">
        <v>0.46500000000000002</v>
      </c>
      <c r="I5" s="160">
        <v>0.83799999999999997</v>
      </c>
      <c r="J5" s="160">
        <v>0.72299999999999998</v>
      </c>
      <c r="K5" s="160">
        <v>0.69799999999999995</v>
      </c>
      <c r="L5" s="160">
        <v>0.70899999999999996</v>
      </c>
      <c r="M5" s="160">
        <v>0.74299999999999999</v>
      </c>
      <c r="N5" s="161">
        <v>0.81</v>
      </c>
      <c r="O5" s="162">
        <v>0.64200000000000002</v>
      </c>
      <c r="P5" s="163">
        <f t="shared" si="0"/>
        <v>4.7954866008462771E-2</v>
      </c>
      <c r="Q5" s="160"/>
    </row>
    <row r="6" spans="1:17" s="96" customFormat="1" ht="19.5" customHeight="1" x14ac:dyDescent="0.2">
      <c r="A6" s="154" t="s">
        <v>862</v>
      </c>
      <c r="B6" s="164">
        <v>67.588774999999998</v>
      </c>
      <c r="C6" s="164">
        <v>66.53451754385965</v>
      </c>
      <c r="D6" s="164">
        <v>66.032801652892559</v>
      </c>
      <c r="E6" s="164">
        <v>64.665957627118644</v>
      </c>
      <c r="F6" s="164">
        <v>63.276139130434785</v>
      </c>
      <c r="G6" s="164">
        <v>62.224825000000003</v>
      </c>
      <c r="H6" s="164">
        <v>62.177169811320752</v>
      </c>
      <c r="I6" s="156">
        <v>61.5</v>
      </c>
      <c r="J6" s="156">
        <v>61.2</v>
      </c>
      <c r="K6" s="164">
        <v>60.3</v>
      </c>
      <c r="L6" s="164">
        <v>61</v>
      </c>
      <c r="M6" s="164">
        <v>60.5</v>
      </c>
      <c r="N6" s="157">
        <v>66</v>
      </c>
      <c r="O6" s="158">
        <v>75</v>
      </c>
      <c r="P6" s="159">
        <f t="shared" si="0"/>
        <v>-8.1967213114754189E-3</v>
      </c>
      <c r="Q6" s="156"/>
    </row>
    <row r="7" spans="1:17" s="96" customFormat="1" ht="19.5" customHeight="1" x14ac:dyDescent="0.2">
      <c r="A7" s="149" t="s">
        <v>863</v>
      </c>
      <c r="B7" s="165">
        <v>16108</v>
      </c>
      <c r="C7" s="165">
        <v>16900</v>
      </c>
      <c r="D7" s="165">
        <v>16159</v>
      </c>
      <c r="E7" s="165">
        <v>17127</v>
      </c>
      <c r="F7" s="165">
        <v>20101</v>
      </c>
      <c r="G7" s="165">
        <v>29676</v>
      </c>
      <c r="H7" s="165">
        <v>31431</v>
      </c>
      <c r="I7" s="165">
        <v>43476</v>
      </c>
      <c r="J7" s="165">
        <v>49780</v>
      </c>
      <c r="K7" s="165">
        <v>53763</v>
      </c>
      <c r="L7" s="338" t="s">
        <v>864</v>
      </c>
      <c r="M7" s="338"/>
      <c r="N7" s="166">
        <v>43476</v>
      </c>
      <c r="O7" s="165">
        <f>2320*8</f>
        <v>18560</v>
      </c>
      <c r="P7" s="153"/>
      <c r="Q7" s="165"/>
    </row>
    <row r="8" spans="1:17" s="96" customFormat="1" ht="19.5" customHeight="1" x14ac:dyDescent="0.2">
      <c r="A8" s="154" t="s">
        <v>865</v>
      </c>
      <c r="B8" s="167">
        <v>0.04</v>
      </c>
      <c r="C8" s="167">
        <v>0.03</v>
      </c>
      <c r="D8" s="167">
        <v>6.0000000000000001E-3</v>
      </c>
      <c r="E8" s="167">
        <v>6.0000000000000001E-3</v>
      </c>
      <c r="F8" s="167">
        <v>6.0000000000000001E-3</v>
      </c>
      <c r="G8" s="167">
        <v>6.0000000000000001E-3</v>
      </c>
      <c r="H8" s="167">
        <v>6.0000000000000001E-3</v>
      </c>
      <c r="I8" s="167">
        <v>5.0000000000000001E-3</v>
      </c>
      <c r="J8" s="167">
        <v>5.0000000000000001E-3</v>
      </c>
      <c r="K8" s="167">
        <v>4.0000000000000001E-3</v>
      </c>
      <c r="L8" s="167">
        <v>1E-3</v>
      </c>
      <c r="M8" s="167">
        <v>1E-3</v>
      </c>
      <c r="N8" s="168">
        <v>2.3E-2</v>
      </c>
      <c r="O8" s="169">
        <v>3.0000000000000001E-3</v>
      </c>
      <c r="P8" s="159">
        <f t="shared" si="0"/>
        <v>0</v>
      </c>
      <c r="Q8" s="167"/>
    </row>
    <row r="9" spans="1:17" s="96" customFormat="1" ht="19.5" customHeight="1" x14ac:dyDescent="0.2">
      <c r="A9" s="149" t="s">
        <v>866</v>
      </c>
      <c r="B9" s="160">
        <v>0.93</v>
      </c>
      <c r="C9" s="160">
        <v>0.93</v>
      </c>
      <c r="D9" s="160">
        <v>0.94</v>
      </c>
      <c r="E9" s="160">
        <v>0.94</v>
      </c>
      <c r="F9" s="160">
        <v>0.98</v>
      </c>
      <c r="G9" s="160">
        <v>0.98</v>
      </c>
      <c r="H9" s="160">
        <v>0.99</v>
      </c>
      <c r="I9" s="160">
        <v>0.99</v>
      </c>
      <c r="J9" s="160">
        <v>0.95</v>
      </c>
      <c r="K9" s="160">
        <v>0.95</v>
      </c>
      <c r="L9" s="160">
        <v>1</v>
      </c>
      <c r="M9" s="160">
        <v>0.71666666666666667</v>
      </c>
      <c r="N9" s="161">
        <v>0.96399999999999997</v>
      </c>
      <c r="O9" s="162">
        <v>1</v>
      </c>
      <c r="P9" s="153">
        <f>+M9/K9-1</f>
        <v>-0.24561403508771928</v>
      </c>
      <c r="Q9" s="160"/>
    </row>
    <row r="10" spans="1:17" s="96" customFormat="1" ht="19.5" customHeight="1" x14ac:dyDescent="0.2">
      <c r="A10" s="154" t="s">
        <v>867</v>
      </c>
      <c r="B10" s="167">
        <v>3.1784841075794622E-2</v>
      </c>
      <c r="C10" s="167">
        <v>6.6014669926650366E-2</v>
      </c>
      <c r="D10" s="167">
        <v>3.9119804400977995E-2</v>
      </c>
      <c r="E10" s="167">
        <v>4.8899755501222497E-2</v>
      </c>
      <c r="F10" s="167">
        <v>5.3789731051344741E-2</v>
      </c>
      <c r="G10" s="167">
        <v>3.6674816625916873E-2</v>
      </c>
      <c r="H10" s="167">
        <v>4.1564792176039117E-2</v>
      </c>
      <c r="I10" s="167">
        <v>4.8899755501222497E-2</v>
      </c>
      <c r="J10" s="167">
        <v>6.1124694376528114E-2</v>
      </c>
      <c r="K10" s="167">
        <v>4.3999999999999997E-2</v>
      </c>
      <c r="L10" s="167">
        <v>6.8000000000000005E-2</v>
      </c>
      <c r="M10" s="167">
        <v>7.0000000000000001E-3</v>
      </c>
      <c r="N10" s="168">
        <v>4.3602281988590057E-2</v>
      </c>
      <c r="O10" s="170">
        <v>4.9083333333333333E-2</v>
      </c>
      <c r="P10" s="159">
        <f t="shared" si="0"/>
        <v>-0.8970588235294118</v>
      </c>
      <c r="Q10" s="167"/>
    </row>
    <row r="11" spans="1:17" s="96" customFormat="1" ht="19.5" customHeight="1" x14ac:dyDescent="0.2">
      <c r="A11" s="149" t="s">
        <v>868</v>
      </c>
      <c r="B11" s="160">
        <v>0.17383545274980905</v>
      </c>
      <c r="C11" s="160">
        <v>0.20065788001166168</v>
      </c>
      <c r="D11" s="160">
        <v>0.21814559531665231</v>
      </c>
      <c r="E11" s="160">
        <v>0.18059673515162969</v>
      </c>
      <c r="F11" s="160">
        <v>0.12512006401023695</v>
      </c>
      <c r="G11" s="160">
        <v>0.12245519337933086</v>
      </c>
      <c r="H11" s="160">
        <v>8.0670213839290489E-2</v>
      </c>
      <c r="I11" s="160">
        <v>4.2000000000000003E-2</v>
      </c>
      <c r="J11" s="160">
        <v>5.3999999999999999E-2</v>
      </c>
      <c r="K11" s="160">
        <v>7.2999999999999995E-2</v>
      </c>
      <c r="L11" s="160">
        <v>0.06</v>
      </c>
      <c r="M11" s="160">
        <v>6.7000000000000004E-2</v>
      </c>
      <c r="N11" s="161">
        <v>0.155</v>
      </c>
      <c r="O11" s="171">
        <v>0.05</v>
      </c>
      <c r="P11" s="153">
        <f t="shared" si="0"/>
        <v>0.1166666666666667</v>
      </c>
      <c r="Q11" s="160"/>
    </row>
    <row r="12" spans="1:17" s="96" customFormat="1" ht="19.5" customHeight="1" x14ac:dyDescent="0.2">
      <c r="A12" s="154" t="s">
        <v>869</v>
      </c>
      <c r="B12" s="172">
        <v>1721</v>
      </c>
      <c r="C12" s="172">
        <v>1824</v>
      </c>
      <c r="D12" s="172">
        <v>1970</v>
      </c>
      <c r="E12" s="172">
        <v>1561</v>
      </c>
      <c r="F12" s="172">
        <v>1244</v>
      </c>
      <c r="G12" s="172">
        <v>1234</v>
      </c>
      <c r="H12" s="172">
        <v>705</v>
      </c>
      <c r="I12" s="172">
        <v>372.5</v>
      </c>
      <c r="J12" s="172">
        <v>479</v>
      </c>
      <c r="K12" s="172">
        <v>613.5</v>
      </c>
      <c r="L12" s="172"/>
      <c r="M12" s="172"/>
      <c r="N12" s="173">
        <v>1414</v>
      </c>
      <c r="O12" s="172">
        <v>456.12903225806451</v>
      </c>
      <c r="P12" s="174" t="e">
        <f t="shared" si="0"/>
        <v>#DIV/0!</v>
      </c>
      <c r="Q12" s="172"/>
    </row>
    <row r="13" spans="1:17" s="96" customFormat="1" ht="19.5" customHeight="1" x14ac:dyDescent="0.2">
      <c r="A13" s="149" t="s">
        <v>870</v>
      </c>
      <c r="B13" s="165">
        <v>67</v>
      </c>
      <c r="C13" s="165">
        <v>75</v>
      </c>
      <c r="D13" s="165">
        <v>72</v>
      </c>
      <c r="E13" s="165">
        <v>67</v>
      </c>
      <c r="F13" s="165">
        <v>80</v>
      </c>
      <c r="G13" s="165">
        <v>81</v>
      </c>
      <c r="H13" s="165">
        <v>50</v>
      </c>
      <c r="I13" s="165">
        <v>21.75</v>
      </c>
      <c r="J13" s="165">
        <v>39</v>
      </c>
      <c r="K13" s="165">
        <v>46.75</v>
      </c>
      <c r="L13" s="165"/>
      <c r="M13" s="165"/>
      <c r="N13" s="166">
        <v>69</v>
      </c>
      <c r="O13" s="165">
        <f>AVERAGE(J13:K13)</f>
        <v>42.875</v>
      </c>
      <c r="P13" s="153" t="e">
        <f t="shared" si="0"/>
        <v>#DIV/0!</v>
      </c>
      <c r="Q13" s="165"/>
    </row>
    <row r="14" spans="1:17" s="96" customFormat="1" ht="19.5" customHeight="1" x14ac:dyDescent="0.2"/>
    <row r="15" spans="1:17" ht="19.5" customHeight="1" x14ac:dyDescent="0.25">
      <c r="A15" s="290"/>
      <c r="B15" s="290"/>
      <c r="C15" s="290"/>
      <c r="D15" s="290"/>
      <c r="E15" s="290"/>
      <c r="F15" s="290"/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</row>
  </sheetData>
  <autoFilter ref="A1:J12" xr:uid="{00000000-0009-0000-0000-000003000000}"/>
  <mergeCells count="1">
    <mergeCell ref="L7:M7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73DB093-DB64-4F76-BFFF-9294AB2CC3C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'Benchmark KPIs Op'!B4:M4</xm:f>
              <xm:sqref>Q4</xm:sqref>
            </x14:sparkline>
            <x14:sparkline>
              <xm:f>'Benchmark KPIs Op'!B5:M5</xm:f>
              <xm:sqref>Q5</xm:sqref>
            </x14:sparkline>
            <x14:sparkline>
              <xm:f>'Benchmark KPIs Op'!B6:M6</xm:f>
              <xm:sqref>Q6</xm:sqref>
            </x14:sparkline>
            <x14:sparkline>
              <xm:f>'Benchmark KPIs Op'!B7:M7</xm:f>
              <xm:sqref>Q7</xm:sqref>
            </x14:sparkline>
            <x14:sparkline>
              <xm:f>'Benchmark KPIs Op'!B8:M8</xm:f>
              <xm:sqref>Q8</xm:sqref>
            </x14:sparkline>
            <x14:sparkline>
              <xm:f>'Benchmark KPIs Op'!B9:M9</xm:f>
              <xm:sqref>Q9</xm:sqref>
            </x14:sparkline>
            <x14:sparkline>
              <xm:f>'Benchmark KPIs Op'!B10:M10</xm:f>
              <xm:sqref>Q10</xm:sqref>
            </x14:sparkline>
            <x14:sparkline>
              <xm:f>'Benchmark KPIs Op'!B11:M11</xm:f>
              <xm:sqref>Q11</xm:sqref>
            </x14:sparkline>
            <x14:sparkline>
              <xm:f>'Benchmark KPIs Op'!B12:M12</xm:f>
              <xm:sqref>Q12</xm:sqref>
            </x14:sparkline>
            <x14:sparkline>
              <xm:f>'Benchmark KPIs Op'!B13:M13</xm:f>
              <xm:sqref>Q13</xm:sqref>
            </x14:sparkline>
          </x14:sparklines>
        </x14:sparklineGroup>
        <x14:sparklineGroup displayEmptyCellsAs="gap" xr2:uid="{9CA5B189-4613-4D7E-90D6-B02F4CC937B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'Benchmark KPIs Op'!B3:M3</xm:f>
              <xm:sqref>Q3</xm:sqref>
            </x14:sparkline>
          </x14:sparklines>
        </x14:sparklineGroup>
      </x14:sparklineGroup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5"/>
  <sheetViews>
    <sheetView showGridLines="0" zoomScaleNormal="100" workbookViewId="0">
      <pane ySplit="2" topLeftCell="A3" activePane="bottomLeft" state="frozen"/>
      <selection pane="bottomLeft" activeCell="M1" sqref="M1"/>
    </sheetView>
  </sheetViews>
  <sheetFormatPr baseColWidth="10" defaultColWidth="8.7109375" defaultRowHeight="15" x14ac:dyDescent="0.25"/>
  <cols>
    <col min="1" max="1" width="16" customWidth="1"/>
    <col min="2" max="2" width="38" customWidth="1"/>
    <col min="3" max="3" width="22" customWidth="1"/>
    <col min="4" max="4" width="12" customWidth="1"/>
    <col min="5" max="8" width="10" customWidth="1"/>
    <col min="9" max="9" width="22" customWidth="1"/>
    <col min="10" max="10" width="14" customWidth="1"/>
    <col min="11" max="11" width="42" customWidth="1"/>
    <col min="13" max="14" width="0" hidden="1" customWidth="1"/>
  </cols>
  <sheetData>
    <row r="1" spans="1:14" ht="31.5" customHeight="1" x14ac:dyDescent="0.25">
      <c r="A1" s="337" t="s">
        <v>871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</row>
    <row r="2" spans="1:14" ht="30" customHeight="1" x14ac:dyDescent="0.25">
      <c r="A2" s="1" t="s">
        <v>872</v>
      </c>
      <c r="B2" s="1" t="s">
        <v>873</v>
      </c>
      <c r="C2" s="1" t="s">
        <v>874</v>
      </c>
      <c r="D2" s="1" t="s">
        <v>875</v>
      </c>
      <c r="E2" s="1" t="s">
        <v>876</v>
      </c>
      <c r="F2" s="1" t="s">
        <v>877</v>
      </c>
      <c r="G2" s="1" t="s">
        <v>878</v>
      </c>
      <c r="H2" s="1" t="s">
        <v>879</v>
      </c>
      <c r="I2" s="1" t="s">
        <v>880</v>
      </c>
      <c r="J2" s="1" t="s">
        <v>881</v>
      </c>
      <c r="K2" s="1" t="s">
        <v>882</v>
      </c>
      <c r="M2" s="1" t="s">
        <v>872</v>
      </c>
      <c r="N2" s="1" t="s">
        <v>881</v>
      </c>
    </row>
    <row r="3" spans="1:14" ht="24" customHeight="1" x14ac:dyDescent="0.25">
      <c r="A3" s="31" t="s">
        <v>883</v>
      </c>
      <c r="B3" s="20" t="s">
        <v>884</v>
      </c>
      <c r="C3" s="20" t="s">
        <v>885</v>
      </c>
      <c r="D3" s="21">
        <v>2</v>
      </c>
      <c r="E3" s="21">
        <v>1</v>
      </c>
      <c r="F3" s="21">
        <v>3</v>
      </c>
      <c r="G3" s="21">
        <v>6</v>
      </c>
      <c r="H3" s="21">
        <f t="shared" ref="H3:H15" si="0">ROUND(E3/D3*30,0)</f>
        <v>15</v>
      </c>
      <c r="I3" s="20" t="s">
        <v>886</v>
      </c>
      <c r="J3" s="29" t="s">
        <v>483</v>
      </c>
      <c r="K3" s="20" t="s">
        <v>887</v>
      </c>
      <c r="M3" s="31" t="s">
        <v>883</v>
      </c>
      <c r="N3" s="29" t="s">
        <v>483</v>
      </c>
    </row>
    <row r="4" spans="1:14" ht="24" customHeight="1" x14ac:dyDescent="0.25">
      <c r="A4" s="31" t="s">
        <v>883</v>
      </c>
      <c r="B4" s="23" t="s">
        <v>888</v>
      </c>
      <c r="C4" s="23" t="s">
        <v>889</v>
      </c>
      <c r="D4" s="24">
        <v>3</v>
      </c>
      <c r="E4" s="24">
        <v>2</v>
      </c>
      <c r="F4" s="24">
        <v>4</v>
      </c>
      <c r="G4" s="24">
        <v>7</v>
      </c>
      <c r="H4" s="24">
        <f t="shared" si="0"/>
        <v>20</v>
      </c>
      <c r="I4" s="23" t="s">
        <v>890</v>
      </c>
      <c r="J4" s="29" t="s">
        <v>483</v>
      </c>
      <c r="K4" s="23" t="s">
        <v>891</v>
      </c>
      <c r="M4" s="32" t="s">
        <v>892</v>
      </c>
      <c r="N4" s="30" t="s">
        <v>488</v>
      </c>
    </row>
    <row r="5" spans="1:14" ht="24" customHeight="1" x14ac:dyDescent="0.25">
      <c r="A5" s="31" t="s">
        <v>883</v>
      </c>
      <c r="B5" s="20" t="s">
        <v>893</v>
      </c>
      <c r="C5" s="20" t="s">
        <v>894</v>
      </c>
      <c r="D5" s="21">
        <v>5</v>
      </c>
      <c r="E5" s="21">
        <v>3</v>
      </c>
      <c r="F5" s="21">
        <v>6</v>
      </c>
      <c r="G5" s="21">
        <v>12</v>
      </c>
      <c r="H5" s="21">
        <f t="shared" si="0"/>
        <v>18</v>
      </c>
      <c r="I5" s="20" t="s">
        <v>895</v>
      </c>
      <c r="J5" s="30" t="s">
        <v>488</v>
      </c>
      <c r="K5" s="20" t="s">
        <v>896</v>
      </c>
      <c r="M5" s="34" t="s">
        <v>897</v>
      </c>
      <c r="N5" s="33" t="s">
        <v>898</v>
      </c>
    </row>
    <row r="6" spans="1:14" ht="24" customHeight="1" x14ac:dyDescent="0.25">
      <c r="A6" s="31" t="s">
        <v>883</v>
      </c>
      <c r="B6" s="23" t="s">
        <v>899</v>
      </c>
      <c r="C6" s="23" t="s">
        <v>885</v>
      </c>
      <c r="D6" s="24">
        <v>8</v>
      </c>
      <c r="E6" s="24">
        <v>4</v>
      </c>
      <c r="F6" s="24">
        <v>8</v>
      </c>
      <c r="G6" s="24">
        <v>16</v>
      </c>
      <c r="H6" s="24">
        <f t="shared" si="0"/>
        <v>15</v>
      </c>
      <c r="I6" s="23" t="s">
        <v>900</v>
      </c>
      <c r="J6" s="30" t="s">
        <v>488</v>
      </c>
      <c r="K6" s="23" t="s">
        <v>901</v>
      </c>
    </row>
    <row r="7" spans="1:14" ht="24" customHeight="1" x14ac:dyDescent="0.25">
      <c r="A7" s="31" t="s">
        <v>883</v>
      </c>
      <c r="B7" s="20" t="s">
        <v>902</v>
      </c>
      <c r="C7" s="20" t="s">
        <v>903</v>
      </c>
      <c r="D7" s="21">
        <v>2</v>
      </c>
      <c r="E7" s="21">
        <v>1</v>
      </c>
      <c r="F7" s="21">
        <v>2</v>
      </c>
      <c r="G7" s="21">
        <v>5</v>
      </c>
      <c r="H7" s="21">
        <f t="shared" si="0"/>
        <v>15</v>
      </c>
      <c r="I7" s="20" t="s">
        <v>904</v>
      </c>
      <c r="J7" s="29" t="s">
        <v>483</v>
      </c>
      <c r="K7" s="20" t="s">
        <v>905</v>
      </c>
    </row>
    <row r="8" spans="1:14" ht="24" customHeight="1" x14ac:dyDescent="0.25">
      <c r="A8" s="32" t="s">
        <v>892</v>
      </c>
      <c r="B8" s="23" t="s">
        <v>906</v>
      </c>
      <c r="C8" s="23" t="s">
        <v>885</v>
      </c>
      <c r="D8" s="24">
        <v>40</v>
      </c>
      <c r="E8" s="24">
        <v>35</v>
      </c>
      <c r="F8" s="24">
        <v>45</v>
      </c>
      <c r="G8" s="24">
        <v>90</v>
      </c>
      <c r="H8" s="24">
        <f t="shared" si="0"/>
        <v>26</v>
      </c>
      <c r="I8" s="23" t="s">
        <v>907</v>
      </c>
      <c r="J8" s="33" t="s">
        <v>898</v>
      </c>
      <c r="K8" s="23" t="s">
        <v>908</v>
      </c>
    </row>
    <row r="9" spans="1:14" ht="24" customHeight="1" x14ac:dyDescent="0.25">
      <c r="A9" s="32" t="s">
        <v>892</v>
      </c>
      <c r="B9" s="20" t="s">
        <v>909</v>
      </c>
      <c r="C9" s="20" t="s">
        <v>885</v>
      </c>
      <c r="D9" s="21">
        <v>24</v>
      </c>
      <c r="E9" s="21">
        <v>18</v>
      </c>
      <c r="F9" s="21">
        <v>30</v>
      </c>
      <c r="G9" s="21">
        <v>60</v>
      </c>
      <c r="H9" s="21">
        <f t="shared" si="0"/>
        <v>23</v>
      </c>
      <c r="I9" s="20" t="s">
        <v>910</v>
      </c>
      <c r="J9" s="33" t="s">
        <v>898</v>
      </c>
      <c r="K9" s="20" t="s">
        <v>911</v>
      </c>
    </row>
    <row r="10" spans="1:14" ht="24" customHeight="1" x14ac:dyDescent="0.25">
      <c r="A10" s="32" t="s">
        <v>892</v>
      </c>
      <c r="B10" s="23" t="s">
        <v>912</v>
      </c>
      <c r="C10" s="23" t="s">
        <v>894</v>
      </c>
      <c r="D10" s="24">
        <v>60</v>
      </c>
      <c r="E10" s="24">
        <v>55</v>
      </c>
      <c r="F10" s="24">
        <v>70</v>
      </c>
      <c r="G10" s="24">
        <v>140</v>
      </c>
      <c r="H10" s="24">
        <f t="shared" si="0"/>
        <v>28</v>
      </c>
      <c r="I10" s="23" t="s">
        <v>913</v>
      </c>
      <c r="J10" s="33" t="s">
        <v>898</v>
      </c>
      <c r="K10" s="23" t="s">
        <v>914</v>
      </c>
    </row>
    <row r="11" spans="1:14" ht="24" customHeight="1" x14ac:dyDescent="0.25">
      <c r="A11" s="32" t="s">
        <v>892</v>
      </c>
      <c r="B11" s="20" t="s">
        <v>915</v>
      </c>
      <c r="C11" s="20" t="s">
        <v>885</v>
      </c>
      <c r="D11" s="21">
        <v>12</v>
      </c>
      <c r="E11" s="21">
        <v>8</v>
      </c>
      <c r="F11" s="21">
        <v>15</v>
      </c>
      <c r="G11" s="21">
        <v>30</v>
      </c>
      <c r="H11" s="21">
        <f t="shared" si="0"/>
        <v>20</v>
      </c>
      <c r="I11" s="20" t="s">
        <v>916</v>
      </c>
      <c r="J11" s="30" t="s">
        <v>488</v>
      </c>
      <c r="K11" s="20" t="s">
        <v>917</v>
      </c>
    </row>
    <row r="12" spans="1:14" ht="24" customHeight="1" x14ac:dyDescent="0.25">
      <c r="A12" s="32" t="s">
        <v>892</v>
      </c>
      <c r="B12" s="23" t="s">
        <v>918</v>
      </c>
      <c r="C12" s="23" t="s">
        <v>885</v>
      </c>
      <c r="D12" s="24">
        <v>4</v>
      </c>
      <c r="E12" s="24">
        <v>2</v>
      </c>
      <c r="F12" s="24">
        <v>5</v>
      </c>
      <c r="G12" s="24">
        <v>10</v>
      </c>
      <c r="H12" s="24">
        <f t="shared" si="0"/>
        <v>15</v>
      </c>
      <c r="I12" s="23" t="s">
        <v>919</v>
      </c>
      <c r="J12" s="30" t="s">
        <v>488</v>
      </c>
      <c r="K12" s="23" t="s">
        <v>920</v>
      </c>
    </row>
    <row r="13" spans="1:14" ht="24" customHeight="1" x14ac:dyDescent="0.25">
      <c r="A13" s="34" t="s">
        <v>897</v>
      </c>
      <c r="B13" s="20" t="s">
        <v>921</v>
      </c>
      <c r="C13" s="20" t="s">
        <v>922</v>
      </c>
      <c r="D13" s="21">
        <v>15</v>
      </c>
      <c r="E13" s="21">
        <v>20</v>
      </c>
      <c r="F13" s="21">
        <v>18</v>
      </c>
      <c r="G13" s="21">
        <v>36</v>
      </c>
      <c r="H13" s="21">
        <f t="shared" si="0"/>
        <v>40</v>
      </c>
      <c r="I13" s="20" t="s">
        <v>923</v>
      </c>
      <c r="J13" s="33" t="s">
        <v>898</v>
      </c>
      <c r="K13" s="20" t="s">
        <v>924</v>
      </c>
    </row>
    <row r="14" spans="1:14" ht="24" customHeight="1" x14ac:dyDescent="0.25">
      <c r="A14" s="34" t="s">
        <v>897</v>
      </c>
      <c r="B14" s="23" t="s">
        <v>925</v>
      </c>
      <c r="C14" s="23" t="s">
        <v>885</v>
      </c>
      <c r="D14" s="24">
        <v>80</v>
      </c>
      <c r="E14" s="24">
        <v>90</v>
      </c>
      <c r="F14" s="24">
        <v>80</v>
      </c>
      <c r="G14" s="24">
        <v>160</v>
      </c>
      <c r="H14" s="24">
        <f t="shared" si="0"/>
        <v>34</v>
      </c>
      <c r="I14" s="23" t="s">
        <v>926</v>
      </c>
      <c r="J14" s="33" t="s">
        <v>898</v>
      </c>
      <c r="K14" s="23" t="s">
        <v>927</v>
      </c>
    </row>
    <row r="15" spans="1:14" ht="24" customHeight="1" x14ac:dyDescent="0.25">
      <c r="A15" s="34" t="s">
        <v>897</v>
      </c>
      <c r="B15" s="20" t="s">
        <v>928</v>
      </c>
      <c r="C15" s="20" t="s">
        <v>885</v>
      </c>
      <c r="D15" s="21">
        <v>120</v>
      </c>
      <c r="E15" s="21">
        <v>100</v>
      </c>
      <c r="F15" s="21">
        <v>120</v>
      </c>
      <c r="G15" s="21">
        <v>240</v>
      </c>
      <c r="H15" s="21">
        <f t="shared" si="0"/>
        <v>25</v>
      </c>
      <c r="I15" s="20" t="s">
        <v>929</v>
      </c>
      <c r="J15" s="33" t="s">
        <v>898</v>
      </c>
      <c r="K15" s="20" t="s">
        <v>930</v>
      </c>
    </row>
  </sheetData>
  <autoFilter ref="A1:K15" xr:uid="{00000000-0009-0000-0000-000004000000}"/>
  <mergeCells count="1">
    <mergeCell ref="A1:K1"/>
  </mergeCells>
  <dataValidations count="2">
    <dataValidation type="list" allowBlank="1" showInputMessage="1" showErrorMessage="1" sqref="J3:J15" xr:uid="{59F6683A-027F-42EF-ACA8-3C8D9D5591BB}">
      <formula1>$N$3:$N$5</formula1>
    </dataValidation>
    <dataValidation type="list" allowBlank="1" showInputMessage="1" showErrorMessage="1" sqref="A3:A15" xr:uid="{A3EC9FD7-1A4B-4FEA-B87A-742734648DE0}">
      <formula1>$M$3:$M$5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showGridLines="0" zoomScaleNormal="100" workbookViewId="0">
      <pane ySplit="2" topLeftCell="A3" activePane="bottomLeft" state="frozen"/>
      <selection pane="bottomLeft" activeCell="F11" sqref="F11"/>
    </sheetView>
  </sheetViews>
  <sheetFormatPr baseColWidth="10" defaultColWidth="8.7109375" defaultRowHeight="15" x14ac:dyDescent="0.25"/>
  <cols>
    <col min="1" max="1" width="28" customWidth="1"/>
    <col min="2" max="3" width="38" customWidth="1"/>
    <col min="4" max="4" width="42" customWidth="1"/>
    <col min="5" max="5" width="24" customWidth="1"/>
    <col min="6" max="6" width="16" customWidth="1"/>
    <col min="7" max="7" width="14" customWidth="1"/>
    <col min="8" max="8" width="42" customWidth="1"/>
  </cols>
  <sheetData>
    <row r="1" spans="1:8" ht="31.5" customHeight="1" x14ac:dyDescent="0.25">
      <c r="A1" s="337" t="s">
        <v>931</v>
      </c>
      <c r="B1" s="337"/>
      <c r="C1" s="337"/>
      <c r="D1" s="337"/>
      <c r="E1" s="337"/>
      <c r="F1" s="337"/>
      <c r="G1" s="337"/>
      <c r="H1" s="337"/>
    </row>
    <row r="2" spans="1:8" ht="25.5" customHeight="1" x14ac:dyDescent="0.25">
      <c r="A2" s="1" t="s">
        <v>932</v>
      </c>
      <c r="B2" s="1" t="s">
        <v>933</v>
      </c>
      <c r="C2" s="1" t="s">
        <v>934</v>
      </c>
      <c r="D2" s="1" t="s">
        <v>935</v>
      </c>
      <c r="E2" s="1" t="s">
        <v>490</v>
      </c>
      <c r="F2" s="1" t="s">
        <v>936</v>
      </c>
      <c r="G2" s="1" t="s">
        <v>937</v>
      </c>
      <c r="H2" s="1" t="s">
        <v>515</v>
      </c>
    </row>
    <row r="3" spans="1:8" ht="36" customHeight="1" x14ac:dyDescent="0.25">
      <c r="A3" s="35" t="s">
        <v>938</v>
      </c>
      <c r="B3" s="20" t="s">
        <v>939</v>
      </c>
      <c r="C3" s="20" t="s">
        <v>940</v>
      </c>
      <c r="D3" s="20" t="s">
        <v>941</v>
      </c>
      <c r="E3" s="21" t="s">
        <v>942</v>
      </c>
      <c r="F3" s="36">
        <v>46249</v>
      </c>
      <c r="G3" s="37" t="s">
        <v>943</v>
      </c>
      <c r="H3" s="20" t="s">
        <v>944</v>
      </c>
    </row>
    <row r="4" spans="1:8" ht="36" customHeight="1" x14ac:dyDescent="0.25">
      <c r="A4" s="38" t="s">
        <v>945</v>
      </c>
      <c r="B4" s="23" t="s">
        <v>946</v>
      </c>
      <c r="C4" s="23" t="s">
        <v>947</v>
      </c>
      <c r="D4" s="23" t="s">
        <v>948</v>
      </c>
      <c r="E4" s="24" t="s">
        <v>949</v>
      </c>
      <c r="F4" s="39">
        <v>46256</v>
      </c>
      <c r="G4" s="37" t="s">
        <v>943</v>
      </c>
      <c r="H4" s="23" t="s">
        <v>950</v>
      </c>
    </row>
    <row r="5" spans="1:8" ht="36" customHeight="1" x14ac:dyDescent="0.25">
      <c r="A5" s="35" t="s">
        <v>951</v>
      </c>
      <c r="B5" s="20" t="s">
        <v>952</v>
      </c>
      <c r="C5" s="20" t="s">
        <v>953</v>
      </c>
      <c r="D5" s="20" t="s">
        <v>954</v>
      </c>
      <c r="E5" s="21" t="s">
        <v>574</v>
      </c>
      <c r="F5" s="36">
        <v>46263</v>
      </c>
      <c r="G5" s="37" t="s">
        <v>943</v>
      </c>
      <c r="H5" s="20" t="s">
        <v>955</v>
      </c>
    </row>
    <row r="6" spans="1:8" ht="36" customHeight="1" x14ac:dyDescent="0.25">
      <c r="A6" s="38" t="s">
        <v>956</v>
      </c>
      <c r="B6" s="23" t="s">
        <v>957</v>
      </c>
      <c r="C6" s="23" t="s">
        <v>958</v>
      </c>
      <c r="D6" s="23" t="s">
        <v>959</v>
      </c>
      <c r="E6" s="24" t="s">
        <v>960</v>
      </c>
      <c r="F6" s="39">
        <v>46270</v>
      </c>
      <c r="G6" s="37" t="s">
        <v>943</v>
      </c>
      <c r="H6" s="23" t="s">
        <v>961</v>
      </c>
    </row>
    <row r="7" spans="1:8" ht="36" customHeight="1" x14ac:dyDescent="0.25">
      <c r="A7" s="35" t="s">
        <v>962</v>
      </c>
      <c r="B7" s="20" t="s">
        <v>963</v>
      </c>
      <c r="C7" s="20" t="s">
        <v>964</v>
      </c>
      <c r="D7" s="20" t="s">
        <v>965</v>
      </c>
      <c r="E7" s="21" t="s">
        <v>966</v>
      </c>
      <c r="F7" s="36">
        <v>46249</v>
      </c>
      <c r="G7" s="37" t="s">
        <v>943</v>
      </c>
      <c r="H7" s="20" t="s">
        <v>967</v>
      </c>
    </row>
    <row r="8" spans="1:8" ht="36" customHeight="1" x14ac:dyDescent="0.25">
      <c r="A8" s="38" t="s">
        <v>968</v>
      </c>
      <c r="B8" s="23" t="s">
        <v>969</v>
      </c>
      <c r="C8" s="23" t="s">
        <v>970</v>
      </c>
      <c r="D8" s="23" t="s">
        <v>971</v>
      </c>
      <c r="E8" s="24" t="s">
        <v>972</v>
      </c>
      <c r="F8" s="39">
        <v>46256</v>
      </c>
      <c r="G8" s="37" t="s">
        <v>943</v>
      </c>
      <c r="H8" s="23" t="s">
        <v>973</v>
      </c>
    </row>
    <row r="9" spans="1:8" ht="36" customHeight="1" x14ac:dyDescent="0.25">
      <c r="A9" s="35" t="s">
        <v>974</v>
      </c>
      <c r="B9" s="20" t="s">
        <v>975</v>
      </c>
      <c r="C9" s="20" t="s">
        <v>976</v>
      </c>
      <c r="D9" s="20" t="s">
        <v>977</v>
      </c>
      <c r="E9" s="21" t="s">
        <v>978</v>
      </c>
      <c r="F9" s="36">
        <v>46284</v>
      </c>
      <c r="G9" s="37" t="s">
        <v>943</v>
      </c>
      <c r="H9" s="20" t="s">
        <v>979</v>
      </c>
    </row>
    <row r="10" spans="1:8" ht="36" customHeight="1" x14ac:dyDescent="0.25">
      <c r="A10" s="38" t="s">
        <v>980</v>
      </c>
      <c r="B10" s="23" t="s">
        <v>981</v>
      </c>
      <c r="C10" s="23" t="s">
        <v>982</v>
      </c>
      <c r="D10" s="23" t="s">
        <v>983</v>
      </c>
      <c r="E10" s="24" t="s">
        <v>984</v>
      </c>
      <c r="F10" s="39">
        <v>46263</v>
      </c>
      <c r="G10" s="37" t="s">
        <v>943</v>
      </c>
      <c r="H10" s="23" t="s">
        <v>985</v>
      </c>
    </row>
    <row r="11" spans="1:8" ht="38.25" x14ac:dyDescent="0.25">
      <c r="A11" s="35" t="s">
        <v>986</v>
      </c>
      <c r="B11" s="20" t="s">
        <v>987</v>
      </c>
      <c r="C11" s="20" t="s">
        <v>988</v>
      </c>
      <c r="D11" s="20" t="s">
        <v>989</v>
      </c>
      <c r="E11" s="21" t="s">
        <v>942</v>
      </c>
      <c r="F11" s="36">
        <v>46284</v>
      </c>
      <c r="G11" s="37" t="s">
        <v>943</v>
      </c>
      <c r="H11" s="20" t="s">
        <v>979</v>
      </c>
    </row>
  </sheetData>
  <autoFilter ref="A1:H10" xr:uid="{00000000-0009-0000-0000-000005000000}"/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"/>
  <sheetViews>
    <sheetView showGridLines="0" zoomScaleNormal="100" workbookViewId="0">
      <pane ySplit="2" topLeftCell="A3" activePane="bottomLeft" state="frozen"/>
      <selection pane="bottomLeft" activeCell="A7" sqref="A7"/>
    </sheetView>
  </sheetViews>
  <sheetFormatPr baseColWidth="10" defaultColWidth="8.7109375" defaultRowHeight="15" x14ac:dyDescent="0.25"/>
  <cols>
    <col min="1" max="1" width="16" customWidth="1"/>
    <col min="2" max="2" width="28" customWidth="1"/>
    <col min="3" max="3" width="32" customWidth="1"/>
    <col min="4" max="4" width="12" customWidth="1"/>
    <col min="5" max="5" width="30" customWidth="1"/>
    <col min="6" max="7" width="34" customWidth="1"/>
    <col min="8" max="8" width="36" customWidth="1"/>
    <col min="9" max="9" width="28" customWidth="1"/>
  </cols>
  <sheetData>
    <row r="1" spans="1:9" ht="31.5" customHeight="1" x14ac:dyDescent="0.25">
      <c r="A1" s="337" t="s">
        <v>990</v>
      </c>
      <c r="B1" s="337"/>
      <c r="C1" s="337"/>
      <c r="D1" s="337"/>
      <c r="E1" s="337"/>
      <c r="F1" s="337"/>
      <c r="G1" s="337"/>
      <c r="H1" s="337"/>
      <c r="I1" s="337"/>
    </row>
    <row r="2" spans="1:9" ht="30" customHeight="1" x14ac:dyDescent="0.25">
      <c r="A2" s="1" t="s">
        <v>991</v>
      </c>
      <c r="B2" s="1" t="s">
        <v>992</v>
      </c>
      <c r="C2" s="1" t="s">
        <v>993</v>
      </c>
      <c r="D2" s="1" t="s">
        <v>994</v>
      </c>
      <c r="E2" s="1" t="s">
        <v>995</v>
      </c>
      <c r="F2" s="1" t="s">
        <v>996</v>
      </c>
      <c r="G2" s="1" t="s">
        <v>997</v>
      </c>
      <c r="H2" s="1" t="s">
        <v>998</v>
      </c>
      <c r="I2" s="1" t="s">
        <v>999</v>
      </c>
    </row>
    <row r="3" spans="1:9" ht="36" customHeight="1" x14ac:dyDescent="0.25">
      <c r="A3" s="40" t="s">
        <v>1000</v>
      </c>
      <c r="B3" s="20" t="s">
        <v>1001</v>
      </c>
      <c r="C3" s="20" t="s">
        <v>1002</v>
      </c>
      <c r="D3" s="21">
        <v>8</v>
      </c>
      <c r="E3" s="41" t="s">
        <v>1003</v>
      </c>
      <c r="F3" s="20" t="s">
        <v>1004</v>
      </c>
      <c r="G3" s="20" t="s">
        <v>1005</v>
      </c>
      <c r="H3" s="20" t="s">
        <v>1006</v>
      </c>
      <c r="I3" s="20" t="s">
        <v>1007</v>
      </c>
    </row>
    <row r="4" spans="1:9" ht="36" customHeight="1" x14ac:dyDescent="0.25">
      <c r="A4" s="42" t="s">
        <v>1000</v>
      </c>
      <c r="B4" s="23" t="s">
        <v>1008</v>
      </c>
      <c r="C4" s="23" t="s">
        <v>1009</v>
      </c>
      <c r="D4" s="24">
        <v>12</v>
      </c>
      <c r="E4" s="41" t="s">
        <v>1010</v>
      </c>
      <c r="F4" s="23" t="s">
        <v>1011</v>
      </c>
      <c r="G4" s="23" t="s">
        <v>1012</v>
      </c>
      <c r="H4" s="23" t="s">
        <v>1013</v>
      </c>
      <c r="I4" s="23" t="s">
        <v>1014</v>
      </c>
    </row>
    <row r="5" spans="1:9" ht="36" customHeight="1" x14ac:dyDescent="0.25">
      <c r="A5" s="40" t="s">
        <v>1015</v>
      </c>
      <c r="B5" s="20" t="s">
        <v>1016</v>
      </c>
      <c r="C5" s="20" t="s">
        <v>1017</v>
      </c>
      <c r="D5" s="21">
        <v>5</v>
      </c>
      <c r="E5" s="41" t="s">
        <v>1018</v>
      </c>
      <c r="F5" s="20" t="s">
        <v>1019</v>
      </c>
      <c r="G5" s="20" t="s">
        <v>1020</v>
      </c>
      <c r="H5" s="20" t="s">
        <v>1021</v>
      </c>
      <c r="I5" s="20" t="s">
        <v>1022</v>
      </c>
    </row>
    <row r="6" spans="1:9" ht="36" customHeight="1" x14ac:dyDescent="0.25">
      <c r="A6" s="42" t="s">
        <v>1023</v>
      </c>
      <c r="B6" s="23" t="s">
        <v>1024</v>
      </c>
      <c r="C6" s="23" t="s">
        <v>1025</v>
      </c>
      <c r="D6" s="24">
        <v>18</v>
      </c>
      <c r="E6" s="43" t="s">
        <v>1026</v>
      </c>
      <c r="F6" s="23" t="s">
        <v>1027</v>
      </c>
      <c r="G6" s="23" t="s">
        <v>1028</v>
      </c>
      <c r="H6" s="23" t="s">
        <v>1029</v>
      </c>
      <c r="I6" s="23" t="s">
        <v>1030</v>
      </c>
    </row>
    <row r="7" spans="1:9" ht="36" customHeight="1" x14ac:dyDescent="0.25">
      <c r="A7" s="40" t="s">
        <v>1031</v>
      </c>
      <c r="B7" s="20" t="s">
        <v>1032</v>
      </c>
      <c r="C7" s="20" t="s">
        <v>1033</v>
      </c>
      <c r="D7" s="21">
        <v>22</v>
      </c>
      <c r="E7" s="41" t="s">
        <v>1034</v>
      </c>
      <c r="F7" s="20" t="s">
        <v>1035</v>
      </c>
      <c r="G7" s="20" t="s">
        <v>1036</v>
      </c>
      <c r="H7" s="20" t="s">
        <v>1037</v>
      </c>
      <c r="I7" s="20" t="s">
        <v>1038</v>
      </c>
    </row>
    <row r="8" spans="1:9" ht="36" customHeight="1" x14ac:dyDescent="0.25">
      <c r="A8" s="42" t="s">
        <v>1039</v>
      </c>
      <c r="B8" s="23" t="s">
        <v>1040</v>
      </c>
      <c r="C8" s="23" t="s">
        <v>1041</v>
      </c>
      <c r="D8" s="24">
        <v>15</v>
      </c>
      <c r="E8" s="43" t="s">
        <v>1042</v>
      </c>
      <c r="F8" s="23" t="s">
        <v>1043</v>
      </c>
      <c r="G8" s="23" t="s">
        <v>1044</v>
      </c>
      <c r="H8" s="23" t="s">
        <v>1045</v>
      </c>
      <c r="I8" s="23" t="s">
        <v>1046</v>
      </c>
    </row>
    <row r="9" spans="1:9" ht="36" customHeight="1" x14ac:dyDescent="0.25">
      <c r="A9" s="40" t="s">
        <v>1047</v>
      </c>
      <c r="B9" s="20" t="s">
        <v>1048</v>
      </c>
      <c r="C9" s="20" t="s">
        <v>1049</v>
      </c>
      <c r="D9" s="21">
        <v>20</v>
      </c>
      <c r="E9" s="43" t="s">
        <v>1050</v>
      </c>
      <c r="F9" s="20" t="s">
        <v>1051</v>
      </c>
      <c r="G9" s="20" t="s">
        <v>1052</v>
      </c>
      <c r="H9" s="20" t="s">
        <v>1053</v>
      </c>
      <c r="I9" s="20" t="s">
        <v>1054</v>
      </c>
    </row>
    <row r="10" spans="1:9" ht="36" customHeight="1" x14ac:dyDescent="0.25">
      <c r="A10" s="42" t="s">
        <v>1055</v>
      </c>
      <c r="B10" s="23" t="s">
        <v>1056</v>
      </c>
      <c r="C10" s="23" t="s">
        <v>1057</v>
      </c>
      <c r="D10" s="24">
        <v>14</v>
      </c>
      <c r="E10" s="23" t="s">
        <v>1058</v>
      </c>
      <c r="F10" s="23" t="s">
        <v>1059</v>
      </c>
      <c r="G10" s="23" t="s">
        <v>1060</v>
      </c>
      <c r="H10" s="23" t="s">
        <v>1061</v>
      </c>
      <c r="I10" s="23" t="s">
        <v>1062</v>
      </c>
    </row>
    <row r="11" spans="1:9" ht="36" customHeight="1" x14ac:dyDescent="0.25">
      <c r="A11" s="40" t="s">
        <v>1063</v>
      </c>
      <c r="B11" s="20" t="s">
        <v>1064</v>
      </c>
      <c r="C11" s="20" t="s">
        <v>1065</v>
      </c>
      <c r="D11" s="21">
        <v>10</v>
      </c>
      <c r="E11" s="43" t="s">
        <v>1066</v>
      </c>
      <c r="F11" s="20" t="s">
        <v>1067</v>
      </c>
      <c r="G11" s="20" t="s">
        <v>1068</v>
      </c>
      <c r="H11" s="20" t="s">
        <v>1069</v>
      </c>
      <c r="I11" s="20" t="s">
        <v>1070</v>
      </c>
    </row>
    <row r="12" spans="1:9" ht="36" customHeight="1" x14ac:dyDescent="0.25">
      <c r="A12" s="42" t="s">
        <v>17</v>
      </c>
      <c r="B12" s="23" t="s">
        <v>1071</v>
      </c>
      <c r="C12" s="23" t="s">
        <v>1072</v>
      </c>
      <c r="D12" s="24">
        <v>6</v>
      </c>
      <c r="E12" s="41" t="s">
        <v>1034</v>
      </c>
      <c r="F12" s="23" t="s">
        <v>1073</v>
      </c>
      <c r="G12" s="23" t="s">
        <v>1074</v>
      </c>
      <c r="H12" s="23" t="s">
        <v>1075</v>
      </c>
      <c r="I12" s="23" t="s">
        <v>1076</v>
      </c>
    </row>
  </sheetData>
  <autoFilter ref="A1:I12" xr:uid="{00000000-0009-0000-0000-000006000000}"/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showGridLines="0" zoomScaleNormal="100" workbookViewId="0">
      <pane ySplit="2" topLeftCell="A8" activePane="bottomLeft" state="frozen"/>
      <selection pane="bottomLeft" activeCell="D3" sqref="D3"/>
    </sheetView>
  </sheetViews>
  <sheetFormatPr baseColWidth="10" defaultColWidth="8.7109375" defaultRowHeight="15" x14ac:dyDescent="0.25"/>
  <cols>
    <col min="1" max="1" width="42" customWidth="1"/>
    <col min="2" max="2" width="13" customWidth="1"/>
    <col min="3" max="3" width="10" customWidth="1"/>
    <col min="4" max="4" width="14" customWidth="1"/>
    <col min="5" max="5" width="50" customWidth="1"/>
    <col min="6" max="6" width="22" customWidth="1"/>
    <col min="7" max="8" width="14" customWidth="1"/>
  </cols>
  <sheetData>
    <row r="1" spans="1:8" ht="31.5" customHeight="1" x14ac:dyDescent="0.25">
      <c r="A1" s="337" t="s">
        <v>1077</v>
      </c>
      <c r="B1" s="337"/>
      <c r="C1" s="337"/>
      <c r="D1" s="337"/>
      <c r="E1" s="337"/>
      <c r="F1" s="337"/>
      <c r="G1" s="337"/>
      <c r="H1" s="337"/>
    </row>
    <row r="2" spans="1:8" ht="25.5" customHeight="1" x14ac:dyDescent="0.25">
      <c r="A2" s="1" t="s">
        <v>477</v>
      </c>
      <c r="B2" s="1" t="s">
        <v>478</v>
      </c>
      <c r="C2" s="1" t="s">
        <v>479</v>
      </c>
      <c r="D2" s="1" t="s">
        <v>1078</v>
      </c>
      <c r="E2" s="1" t="s">
        <v>1079</v>
      </c>
      <c r="F2" s="1" t="s">
        <v>490</v>
      </c>
      <c r="G2" s="1" t="s">
        <v>1080</v>
      </c>
      <c r="H2" s="1" t="s">
        <v>201</v>
      </c>
    </row>
    <row r="3" spans="1:8" ht="36" customHeight="1" x14ac:dyDescent="0.25">
      <c r="A3" s="20" t="s">
        <v>481</v>
      </c>
      <c r="B3" s="21" t="s">
        <v>425</v>
      </c>
      <c r="C3" s="21" t="s">
        <v>482</v>
      </c>
      <c r="D3" s="37" t="s">
        <v>483</v>
      </c>
      <c r="E3" s="20" t="s">
        <v>1081</v>
      </c>
      <c r="F3" s="21" t="s">
        <v>493</v>
      </c>
      <c r="G3" s="36">
        <v>46218</v>
      </c>
      <c r="H3" s="21" t="s">
        <v>1082</v>
      </c>
    </row>
    <row r="4" spans="1:8" ht="36" customHeight="1" x14ac:dyDescent="0.25">
      <c r="A4" s="23" t="s">
        <v>1083</v>
      </c>
      <c r="B4" s="24" t="s">
        <v>425</v>
      </c>
      <c r="C4" s="24" t="s">
        <v>482</v>
      </c>
      <c r="D4" s="37" t="s">
        <v>483</v>
      </c>
      <c r="E4" s="23" t="s">
        <v>1084</v>
      </c>
      <c r="F4" s="24" t="s">
        <v>1085</v>
      </c>
      <c r="G4" s="39">
        <v>46213</v>
      </c>
      <c r="H4" s="24" t="s">
        <v>1082</v>
      </c>
    </row>
    <row r="5" spans="1:8" ht="36" customHeight="1" x14ac:dyDescent="0.25">
      <c r="A5" s="20" t="s">
        <v>1086</v>
      </c>
      <c r="B5" s="21" t="s">
        <v>425</v>
      </c>
      <c r="C5" s="21" t="s">
        <v>482</v>
      </c>
      <c r="D5" s="37" t="s">
        <v>483</v>
      </c>
      <c r="E5" s="20" t="s">
        <v>1087</v>
      </c>
      <c r="F5" s="21" t="s">
        <v>1088</v>
      </c>
      <c r="G5" s="36">
        <v>46225</v>
      </c>
      <c r="H5" s="21" t="s">
        <v>1082</v>
      </c>
    </row>
    <row r="6" spans="1:8" ht="36" customHeight="1" x14ac:dyDescent="0.25">
      <c r="A6" s="23" t="s">
        <v>1089</v>
      </c>
      <c r="B6" s="24" t="s">
        <v>430</v>
      </c>
      <c r="C6" s="24" t="s">
        <v>482</v>
      </c>
      <c r="D6" s="37" t="s">
        <v>483</v>
      </c>
      <c r="E6" s="23" t="s">
        <v>1090</v>
      </c>
      <c r="F6" s="24" t="s">
        <v>1091</v>
      </c>
      <c r="G6" s="39">
        <v>46232</v>
      </c>
      <c r="H6" s="24" t="s">
        <v>1082</v>
      </c>
    </row>
    <row r="7" spans="1:8" ht="36" customHeight="1" x14ac:dyDescent="0.25">
      <c r="A7" s="20" t="s">
        <v>1092</v>
      </c>
      <c r="B7" s="21" t="s">
        <v>425</v>
      </c>
      <c r="C7" s="21" t="s">
        <v>487</v>
      </c>
      <c r="D7" s="44" t="s">
        <v>488</v>
      </c>
      <c r="E7" s="20" t="s">
        <v>1093</v>
      </c>
      <c r="F7" s="21" t="s">
        <v>589</v>
      </c>
      <c r="G7" s="36">
        <v>46280</v>
      </c>
      <c r="H7" s="21" t="s">
        <v>1082</v>
      </c>
    </row>
    <row r="8" spans="1:8" ht="36" customHeight="1" x14ac:dyDescent="0.25">
      <c r="A8" s="23" t="s">
        <v>1094</v>
      </c>
      <c r="B8" s="24" t="s">
        <v>425</v>
      </c>
      <c r="C8" s="24" t="s">
        <v>487</v>
      </c>
      <c r="D8" s="44" t="s">
        <v>488</v>
      </c>
      <c r="E8" s="23" t="s">
        <v>1095</v>
      </c>
      <c r="F8" s="24" t="s">
        <v>535</v>
      </c>
      <c r="G8" s="39">
        <v>46225</v>
      </c>
      <c r="H8" s="24" t="s">
        <v>1082</v>
      </c>
    </row>
    <row r="9" spans="1:8" ht="36" customHeight="1" x14ac:dyDescent="0.25">
      <c r="A9" s="20" t="s">
        <v>1096</v>
      </c>
      <c r="B9" s="21" t="s">
        <v>430</v>
      </c>
      <c r="C9" s="21" t="s">
        <v>487</v>
      </c>
      <c r="D9" s="44" t="s">
        <v>488</v>
      </c>
      <c r="E9" s="20" t="s">
        <v>1097</v>
      </c>
      <c r="F9" s="21" t="s">
        <v>599</v>
      </c>
      <c r="G9" s="36">
        <v>46249</v>
      </c>
      <c r="H9" s="21" t="s">
        <v>1082</v>
      </c>
    </row>
    <row r="10" spans="1:8" ht="36" customHeight="1" x14ac:dyDescent="0.25">
      <c r="A10" s="23" t="s">
        <v>1098</v>
      </c>
      <c r="B10" s="24" t="s">
        <v>433</v>
      </c>
      <c r="C10" s="24" t="s">
        <v>482</v>
      </c>
      <c r="D10" s="44" t="s">
        <v>488</v>
      </c>
      <c r="E10" s="23" t="s">
        <v>1099</v>
      </c>
      <c r="F10" s="24" t="s">
        <v>1100</v>
      </c>
      <c r="G10" s="39">
        <v>46263</v>
      </c>
      <c r="H10" s="24" t="s">
        <v>1082</v>
      </c>
    </row>
    <row r="11" spans="1:8" ht="36" customHeight="1" x14ac:dyDescent="0.25">
      <c r="A11" s="20" t="s">
        <v>1101</v>
      </c>
      <c r="B11" s="21" t="s">
        <v>430</v>
      </c>
      <c r="C11" s="21" t="s">
        <v>482</v>
      </c>
      <c r="D11" s="44" t="s">
        <v>488</v>
      </c>
      <c r="E11" s="20" t="s">
        <v>1102</v>
      </c>
      <c r="F11" s="21" t="s">
        <v>1103</v>
      </c>
      <c r="G11" s="36">
        <v>46249</v>
      </c>
      <c r="H11" s="21" t="s">
        <v>1082</v>
      </c>
    </row>
    <row r="12" spans="1:8" ht="36" customHeight="1" x14ac:dyDescent="0.25">
      <c r="A12" s="23" t="s">
        <v>1104</v>
      </c>
      <c r="B12" s="24" t="s">
        <v>433</v>
      </c>
      <c r="C12" s="24" t="s">
        <v>482</v>
      </c>
      <c r="D12" s="45" t="s">
        <v>1105</v>
      </c>
      <c r="E12" s="23" t="s">
        <v>1106</v>
      </c>
      <c r="F12" s="24" t="s">
        <v>1107</v>
      </c>
      <c r="G12" s="39">
        <v>46294</v>
      </c>
      <c r="H12" s="24" t="s">
        <v>1082</v>
      </c>
    </row>
  </sheetData>
  <autoFilter ref="A1:H12" xr:uid="{00000000-0009-0000-0000-000007000000}"/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showGridLines="0" topLeftCell="C1" zoomScaleNormal="100" workbookViewId="0">
      <pane ySplit="2" topLeftCell="A4" activePane="bottomLeft" state="frozen"/>
      <selection pane="bottomLeft" activeCell="B3" sqref="B3"/>
    </sheetView>
  </sheetViews>
  <sheetFormatPr baseColWidth="10" defaultColWidth="8.7109375" defaultRowHeight="15" x14ac:dyDescent="0.25"/>
  <cols>
    <col min="1" max="1" width="16" customWidth="1"/>
    <col min="2" max="2" width="48" customWidth="1"/>
    <col min="3" max="3" width="40" customWidth="1"/>
    <col min="4" max="6" width="42" customWidth="1"/>
  </cols>
  <sheetData>
    <row r="1" spans="1:6" ht="31.5" customHeight="1" x14ac:dyDescent="0.25">
      <c r="A1" s="247" t="s">
        <v>1108</v>
      </c>
      <c r="B1" s="247"/>
      <c r="C1" s="247"/>
      <c r="D1" s="247"/>
      <c r="E1" s="247"/>
      <c r="F1" s="247"/>
    </row>
    <row r="2" spans="1:6" ht="25.5" customHeight="1" x14ac:dyDescent="0.25">
      <c r="A2" s="1" t="s">
        <v>1109</v>
      </c>
      <c r="B2" s="1" t="s">
        <v>1110</v>
      </c>
      <c r="C2" s="1" t="s">
        <v>1111</v>
      </c>
      <c r="D2" s="1" t="s">
        <v>1112</v>
      </c>
      <c r="E2" s="1" t="s">
        <v>1113</v>
      </c>
      <c r="F2" s="1" t="s">
        <v>1114</v>
      </c>
    </row>
    <row r="3" spans="1:6" ht="120" customHeight="1" x14ac:dyDescent="0.25">
      <c r="A3" s="46" t="s">
        <v>1115</v>
      </c>
      <c r="B3" s="47" t="s">
        <v>1116</v>
      </c>
      <c r="C3" s="47" t="s">
        <v>1117</v>
      </c>
      <c r="D3" s="47" t="s">
        <v>1118</v>
      </c>
      <c r="E3" s="47" t="s">
        <v>1119</v>
      </c>
      <c r="F3" s="47" t="s">
        <v>1120</v>
      </c>
    </row>
    <row r="4" spans="1:6" ht="120" customHeight="1" x14ac:dyDescent="0.25">
      <c r="A4" s="48" t="s">
        <v>1121</v>
      </c>
      <c r="B4" s="49" t="s">
        <v>1122</v>
      </c>
      <c r="C4" s="49" t="s">
        <v>1123</v>
      </c>
      <c r="D4" s="49" t="s">
        <v>1124</v>
      </c>
      <c r="E4" s="49" t="s">
        <v>1125</v>
      </c>
      <c r="F4" s="49" t="s">
        <v>1126</v>
      </c>
    </row>
    <row r="5" spans="1:6" ht="120" customHeight="1" x14ac:dyDescent="0.25">
      <c r="A5" s="50" t="s">
        <v>1127</v>
      </c>
      <c r="B5" s="51" t="s">
        <v>1128</v>
      </c>
      <c r="C5" s="51" t="s">
        <v>1129</v>
      </c>
      <c r="D5" s="51" t="s">
        <v>1130</v>
      </c>
      <c r="E5" s="51" t="s">
        <v>1131</v>
      </c>
      <c r="F5" s="51" t="s">
        <v>1132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437F-EB0B-4E50-8FE7-67F467EAE0CC}">
  <dimension ref="A1:H10"/>
  <sheetViews>
    <sheetView showGridLines="0" topLeftCell="C1" zoomScaleNormal="100" workbookViewId="0">
      <pane ySplit="2" topLeftCell="A3" activePane="bottomLeft" state="frozen"/>
      <selection pane="bottomLeft" activeCell="F11" sqref="F11"/>
    </sheetView>
  </sheetViews>
  <sheetFormatPr baseColWidth="10" defaultColWidth="8.7109375" defaultRowHeight="15" x14ac:dyDescent="0.25"/>
  <cols>
    <col min="1" max="1" width="28" customWidth="1"/>
    <col min="2" max="3" width="38" customWidth="1"/>
    <col min="4" max="4" width="42" customWidth="1"/>
    <col min="5" max="5" width="24" customWidth="1"/>
    <col min="6" max="6" width="16" customWidth="1"/>
    <col min="7" max="7" width="14" customWidth="1"/>
    <col min="8" max="8" width="42" customWidth="1"/>
  </cols>
  <sheetData>
    <row r="1" spans="1:8" ht="31.5" customHeight="1" x14ac:dyDescent="0.25">
      <c r="A1" s="94" t="s">
        <v>931</v>
      </c>
      <c r="B1" s="94"/>
      <c r="C1" s="94"/>
      <c r="D1" s="94"/>
      <c r="E1" s="94"/>
      <c r="F1" s="94"/>
      <c r="G1" s="94"/>
      <c r="H1" s="94"/>
    </row>
    <row r="2" spans="1:8" ht="25.5" customHeight="1" x14ac:dyDescent="0.25">
      <c r="A2" s="1" t="s">
        <v>429</v>
      </c>
      <c r="B2" s="1" t="s">
        <v>420</v>
      </c>
      <c r="C2" s="1" t="s">
        <v>1133</v>
      </c>
      <c r="D2" s="1" t="s">
        <v>1134</v>
      </c>
      <c r="E2" s="1" t="s">
        <v>490</v>
      </c>
      <c r="F2" s="1" t="s">
        <v>936</v>
      </c>
      <c r="G2" s="1" t="s">
        <v>937</v>
      </c>
      <c r="H2" s="1" t="s">
        <v>515</v>
      </c>
    </row>
    <row r="3" spans="1:8" ht="36" customHeight="1" x14ac:dyDescent="0.25">
      <c r="A3" s="35" t="s">
        <v>1135</v>
      </c>
      <c r="B3" s="20" t="s">
        <v>1136</v>
      </c>
      <c r="C3" s="20" t="s">
        <v>1137</v>
      </c>
      <c r="D3" s="20" t="s">
        <v>1138</v>
      </c>
      <c r="E3" s="21" t="s">
        <v>1170</v>
      </c>
      <c r="F3" s="297">
        <v>46218</v>
      </c>
      <c r="G3" s="37" t="s">
        <v>1173</v>
      </c>
      <c r="H3" s="20"/>
    </row>
    <row r="4" spans="1:8" ht="36" customHeight="1" x14ac:dyDescent="0.25">
      <c r="A4" s="38" t="s">
        <v>1139</v>
      </c>
      <c r="B4" s="23" t="s">
        <v>1140</v>
      </c>
      <c r="C4" s="23" t="s">
        <v>1141</v>
      </c>
      <c r="D4" s="23" t="s">
        <v>1138</v>
      </c>
      <c r="E4" s="24" t="s">
        <v>1171</v>
      </c>
      <c r="F4" s="298">
        <v>46233</v>
      </c>
      <c r="G4" s="37" t="s">
        <v>1173</v>
      </c>
      <c r="H4" s="23"/>
    </row>
    <row r="5" spans="1:8" ht="45" customHeight="1" x14ac:dyDescent="0.25">
      <c r="A5" s="35" t="s">
        <v>1142</v>
      </c>
      <c r="B5" s="20" t="s">
        <v>1143</v>
      </c>
      <c r="C5" s="20" t="s">
        <v>1144</v>
      </c>
      <c r="D5" s="20" t="s">
        <v>1138</v>
      </c>
      <c r="E5" s="21" t="s">
        <v>1171</v>
      </c>
      <c r="F5" s="297">
        <v>46249</v>
      </c>
      <c r="G5" s="37" t="s">
        <v>1082</v>
      </c>
      <c r="H5" s="20"/>
    </row>
    <row r="6" spans="1:8" ht="84.75" customHeight="1" x14ac:dyDescent="0.25">
      <c r="A6" s="38" t="s">
        <v>1145</v>
      </c>
      <c r="B6" s="23" t="s">
        <v>1146</v>
      </c>
      <c r="C6" s="23" t="s">
        <v>1147</v>
      </c>
      <c r="D6" s="23" t="s">
        <v>1138</v>
      </c>
      <c r="E6" s="24" t="s">
        <v>1170</v>
      </c>
      <c r="F6" s="298">
        <v>46249</v>
      </c>
      <c r="G6" s="37" t="s">
        <v>1174</v>
      </c>
      <c r="H6" s="23"/>
    </row>
    <row r="7" spans="1:8" ht="36" customHeight="1" x14ac:dyDescent="0.25">
      <c r="A7" s="35" t="s">
        <v>1148</v>
      </c>
      <c r="B7" s="20" t="s">
        <v>1149</v>
      </c>
      <c r="C7" s="20" t="s">
        <v>1150</v>
      </c>
      <c r="D7" s="20" t="s">
        <v>1151</v>
      </c>
      <c r="E7" s="21" t="s">
        <v>1170</v>
      </c>
      <c r="F7" s="297">
        <v>46265</v>
      </c>
      <c r="G7" s="37" t="s">
        <v>1082</v>
      </c>
      <c r="H7" s="20"/>
    </row>
    <row r="8" spans="1:8" ht="47.25" customHeight="1" x14ac:dyDescent="0.25">
      <c r="A8" s="38" t="s">
        <v>1152</v>
      </c>
      <c r="B8" s="23" t="s">
        <v>1153</v>
      </c>
      <c r="C8" s="23" t="s">
        <v>1154</v>
      </c>
      <c r="D8" s="23" t="s">
        <v>1155</v>
      </c>
      <c r="E8" s="24" t="s">
        <v>1172</v>
      </c>
      <c r="F8" s="298">
        <v>46265</v>
      </c>
      <c r="G8" s="37" t="s">
        <v>1082</v>
      </c>
      <c r="H8" s="23"/>
    </row>
    <row r="9" spans="1:8" ht="36" customHeight="1" x14ac:dyDescent="0.25">
      <c r="A9" s="35" t="s">
        <v>1156</v>
      </c>
      <c r="B9" s="20" t="s">
        <v>1157</v>
      </c>
      <c r="C9" s="20" t="s">
        <v>1158</v>
      </c>
      <c r="D9" s="20" t="s">
        <v>1138</v>
      </c>
      <c r="E9" s="21" t="s">
        <v>1170</v>
      </c>
      <c r="F9" s="297">
        <v>46280</v>
      </c>
      <c r="G9" s="37" t="s">
        <v>1173</v>
      </c>
      <c r="H9" s="20"/>
    </row>
    <row r="10" spans="1:8" ht="36" customHeight="1" x14ac:dyDescent="0.25">
      <c r="A10" s="38" t="s">
        <v>1159</v>
      </c>
      <c r="B10" s="23" t="s">
        <v>1160</v>
      </c>
      <c r="C10" s="23" t="s">
        <v>1161</v>
      </c>
      <c r="D10" s="23" t="s">
        <v>1138</v>
      </c>
      <c r="E10" s="24" t="s">
        <v>1170</v>
      </c>
      <c r="F10" s="298">
        <v>46295</v>
      </c>
      <c r="G10" s="37" t="s">
        <v>1082</v>
      </c>
      <c r="H10" s="23"/>
    </row>
  </sheetData>
  <autoFilter ref="A1:H10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EA3A-5563-4BEB-A606-39C38C94AB98}">
  <dimension ref="A1:J6"/>
  <sheetViews>
    <sheetView showGridLines="0" zoomScaleNormal="125" zoomScaleSheetLayoutView="100" workbookViewId="0">
      <selection activeCell="A2" sqref="A2"/>
    </sheetView>
  </sheetViews>
  <sheetFormatPr baseColWidth="10" defaultColWidth="9.140625" defaultRowHeight="15" x14ac:dyDescent="0.25"/>
  <cols>
    <col min="1" max="1" width="4.85546875" style="60" customWidth="1"/>
    <col min="2" max="16384" width="9.140625" style="60"/>
  </cols>
  <sheetData>
    <row r="1" spans="1:10" ht="24" thickBot="1" x14ac:dyDescent="0.4">
      <c r="A1" s="58" t="s">
        <v>1162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15.75" thickTop="1" x14ac:dyDescent="0.25">
      <c r="A2" s="60">
        <v>1</v>
      </c>
      <c r="B2" s="60" t="s">
        <v>1163</v>
      </c>
    </row>
    <row r="3" spans="1:10" x14ac:dyDescent="0.25">
      <c r="A3" s="60">
        <v>2</v>
      </c>
      <c r="B3" s="60" t="s">
        <v>1164</v>
      </c>
    </row>
    <row r="4" spans="1:10" x14ac:dyDescent="0.25">
      <c r="A4" s="60">
        <v>3</v>
      </c>
      <c r="B4" s="60" t="s">
        <v>1165</v>
      </c>
    </row>
    <row r="5" spans="1:10" x14ac:dyDescent="0.25">
      <c r="A5" s="60">
        <v>4</v>
      </c>
      <c r="B5" s="60" t="s">
        <v>1166</v>
      </c>
    </row>
    <row r="6" spans="1:10" x14ac:dyDescent="0.25">
      <c r="A6" s="60">
        <v>5</v>
      </c>
      <c r="B6" s="60" t="s">
        <v>1167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Organigrama</vt:lpstr>
      <vt:lpstr>Directorio</vt:lpstr>
      <vt:lpstr>Agenda Juntas</vt:lpstr>
      <vt:lpstr>Temas a revisar</vt:lpstr>
      <vt:lpstr>FODA</vt:lpstr>
      <vt:lpstr>Disgnóstico UdN1</vt:lpstr>
      <vt:lpstr>Ratio Técnicos</vt:lpstr>
      <vt:lpstr>Bahías Fosas</vt:lpstr>
      <vt:lpstr>Draft</vt:lpstr>
      <vt:lpstr>Resumen Ejecutivo</vt:lpstr>
      <vt:lpstr>Roadmap 90 Días</vt:lpstr>
      <vt:lpstr>Diagnóstico Nacional</vt:lpstr>
      <vt:lpstr>KPIs Corporativos</vt:lpstr>
      <vt:lpstr>KPIs  Secundarios</vt:lpstr>
      <vt:lpstr>Benchmark KPIs Corp</vt:lpstr>
      <vt:lpstr>Benchmark KPIs Op</vt:lpstr>
      <vt:lpstr>Refacciones Críticas</vt:lpstr>
      <vt:lpstr>Estandarización Procesos</vt:lpstr>
      <vt:lpstr>Confiabilidad</vt:lpstr>
      <vt:lpstr>Riesgos y Acciones</vt:lpstr>
      <vt:lpstr>Plan Mensual Avances</vt:lpstr>
      <vt:lpstr>Proyectos</vt:lpstr>
      <vt:lpstr>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Alejandro Juarez Cabrera</cp:lastModifiedBy>
  <cp:revision>0</cp:revision>
  <dcterms:created xsi:type="dcterms:W3CDTF">2026-06-23T00:56:59Z</dcterms:created>
  <dcterms:modified xsi:type="dcterms:W3CDTF">2026-07-03T23:17:43Z</dcterms:modified>
  <cp:category/>
  <cp:contentStatus/>
</cp:coreProperties>
</file>